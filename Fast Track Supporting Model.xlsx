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e3aebd8e29609/Desktop/"/>
    </mc:Choice>
  </mc:AlternateContent>
  <xr:revisionPtr revIDLastSave="3" documentId="8_{AE48F00F-F2AF-46E2-AA3C-A76C333FB782}" xr6:coauthVersionLast="47" xr6:coauthVersionMax="47" xr10:uidLastSave="{67A67912-4990-4297-BF6C-3810F4C729EA}"/>
  <bookViews>
    <workbookView xWindow="-110" yWindow="-110" windowWidth="19420" windowHeight="11500" tabRatio="500" xr2:uid="{00000000-000D-0000-FFFF-FFFF00000000}"/>
  </bookViews>
  <sheets>
    <sheet name="Income Statement" sheetId="1" r:id="rId1"/>
    <sheet name="Analysis" sheetId="2" r:id="rId2"/>
    <sheet name="Balance Sheet" sheetId="3" r:id="rId3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/>
  <c r="H40" i="3"/>
  <c r="I40" i="3"/>
  <c r="J40" i="3"/>
  <c r="G70" i="3"/>
  <c r="E70" i="3"/>
  <c r="F69" i="3"/>
  <c r="E69" i="3"/>
  <c r="D69" i="3"/>
  <c r="C69" i="3"/>
  <c r="C68" i="3"/>
  <c r="G67" i="3"/>
  <c r="F67" i="3"/>
  <c r="E67" i="3"/>
  <c r="D67" i="3"/>
  <c r="C67" i="3"/>
  <c r="G62" i="3"/>
  <c r="F62" i="3"/>
  <c r="E62" i="3"/>
  <c r="D62" i="3"/>
  <c r="C62" i="3"/>
  <c r="G58" i="3"/>
  <c r="E58" i="3"/>
  <c r="D58" i="3"/>
  <c r="C58" i="3"/>
  <c r="F57" i="3"/>
  <c r="J55" i="3"/>
  <c r="I55" i="3"/>
  <c r="H55" i="3"/>
  <c r="J54" i="3"/>
  <c r="I54" i="3"/>
  <c r="H54" i="3"/>
  <c r="G54" i="3"/>
  <c r="F54" i="3"/>
  <c r="E54" i="3"/>
  <c r="D54" i="3"/>
  <c r="C54" i="3"/>
  <c r="G53" i="3"/>
  <c r="F53" i="3"/>
  <c r="E53" i="3"/>
  <c r="D53" i="3"/>
  <c r="C53" i="3"/>
  <c r="H52" i="3"/>
  <c r="G52" i="3"/>
  <c r="F52" i="3"/>
  <c r="E52" i="3"/>
  <c r="D52" i="3"/>
  <c r="C52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I46" i="3"/>
  <c r="H46" i="3"/>
  <c r="G46" i="3"/>
  <c r="F46" i="3"/>
  <c r="E46" i="3"/>
  <c r="D46" i="3"/>
  <c r="C46" i="3"/>
  <c r="G45" i="3"/>
  <c r="F45" i="3"/>
  <c r="E45" i="3"/>
  <c r="D45" i="3"/>
  <c r="C45" i="3"/>
  <c r="B35" i="3"/>
  <c r="B34" i="3"/>
  <c r="H25" i="3"/>
  <c r="H53" i="3"/>
  <c r="G22" i="3"/>
  <c r="E22" i="3"/>
  <c r="D22" i="3"/>
  <c r="C22" i="3"/>
  <c r="I21" i="3"/>
  <c r="I52" i="3"/>
  <c r="H21" i="3"/>
  <c r="G20" i="3"/>
  <c r="F20" i="3"/>
  <c r="F22" i="3"/>
  <c r="E20" i="3"/>
  <c r="D20" i="3"/>
  <c r="C20" i="3"/>
  <c r="B20" i="3"/>
  <c r="B22" i="3"/>
  <c r="I19" i="3"/>
  <c r="I51" i="3"/>
  <c r="H19" i="3"/>
  <c r="H51" i="3"/>
  <c r="H18" i="3"/>
  <c r="I18" i="3"/>
  <c r="J17" i="3"/>
  <c r="I17" i="3"/>
  <c r="I49" i="3"/>
  <c r="H17" i="3"/>
  <c r="H13" i="3"/>
  <c r="H11" i="3"/>
  <c r="I11" i="3"/>
  <c r="J11" i="3"/>
  <c r="I9" i="3"/>
  <c r="H9" i="3"/>
  <c r="I8" i="3"/>
  <c r="H8" i="3"/>
  <c r="B7" i="3"/>
  <c r="E19" i="2"/>
  <c r="D19" i="2"/>
  <c r="C19" i="2"/>
  <c r="I18" i="2"/>
  <c r="H18" i="2"/>
  <c r="E18" i="2"/>
  <c r="F18" i="2"/>
  <c r="D18" i="2"/>
  <c r="C18" i="2"/>
  <c r="H16" i="2"/>
  <c r="E11" i="2"/>
  <c r="D11" i="2"/>
  <c r="C11" i="2"/>
  <c r="J10" i="2"/>
  <c r="I10" i="2"/>
  <c r="I11" i="2"/>
  <c r="H10" i="2"/>
  <c r="G10" i="2"/>
  <c r="F10" i="2"/>
  <c r="E10" i="2"/>
  <c r="D10" i="2"/>
  <c r="C10" i="2"/>
  <c r="G41" i="1"/>
  <c r="G40" i="1"/>
  <c r="G39" i="1"/>
  <c r="F36" i="1"/>
  <c r="E36" i="1"/>
  <c r="D36" i="1"/>
  <c r="C36" i="1"/>
  <c r="B36" i="1"/>
  <c r="G35" i="1"/>
  <c r="G34" i="1"/>
  <c r="G36" i="1"/>
  <c r="G33" i="1"/>
  <c r="G22" i="1"/>
  <c r="F14" i="1"/>
  <c r="E14" i="1"/>
  <c r="D14" i="1"/>
  <c r="I13" i="1"/>
  <c r="G13" i="1"/>
  <c r="F12" i="1"/>
  <c r="E12" i="1"/>
  <c r="D16" i="2"/>
  <c r="D17" i="2"/>
  <c r="D12" i="1"/>
  <c r="C12" i="1"/>
  <c r="D70" i="3"/>
  <c r="B12" i="1"/>
  <c r="C70" i="3"/>
  <c r="F11" i="1"/>
  <c r="G69" i="3"/>
  <c r="E11" i="1"/>
  <c r="D11" i="1"/>
  <c r="C11" i="1"/>
  <c r="C14" i="1"/>
  <c r="B11" i="1"/>
  <c r="B8" i="1"/>
  <c r="B7" i="1"/>
  <c r="F6" i="1"/>
  <c r="E6" i="1"/>
  <c r="D6" i="1"/>
  <c r="C6" i="1"/>
  <c r="B6" i="1"/>
  <c r="G5" i="1"/>
  <c r="I48" i="3"/>
  <c r="F68" i="3"/>
  <c r="E7" i="1"/>
  <c r="J19" i="3"/>
  <c r="J51" i="3"/>
  <c r="J20" i="3"/>
  <c r="J21" i="3"/>
  <c r="J52" i="3"/>
  <c r="E68" i="3"/>
  <c r="D12" i="2"/>
  <c r="D7" i="1"/>
  <c r="J9" i="3"/>
  <c r="J47" i="3"/>
  <c r="F7" i="1"/>
  <c r="G68" i="3"/>
  <c r="G6" i="1"/>
  <c r="B37" i="3"/>
  <c r="B39" i="3"/>
  <c r="G7" i="1"/>
  <c r="G8" i="1"/>
  <c r="I19" i="2"/>
  <c r="I13" i="3"/>
  <c r="J13" i="3"/>
  <c r="H5" i="1"/>
  <c r="I5" i="1"/>
  <c r="J46" i="3"/>
  <c r="I20" i="3"/>
  <c r="I22" i="3"/>
  <c r="B36" i="3"/>
  <c r="H48" i="3"/>
  <c r="G11" i="2"/>
  <c r="G19" i="2"/>
  <c r="J8" i="3"/>
  <c r="J18" i="3"/>
  <c r="J50" i="3"/>
  <c r="I50" i="3"/>
  <c r="D68" i="3"/>
  <c r="C12" i="2"/>
  <c r="C7" i="1"/>
  <c r="H17" i="2"/>
  <c r="H11" i="2"/>
  <c r="H19" i="2"/>
  <c r="I47" i="3"/>
  <c r="H47" i="3"/>
  <c r="J48" i="3"/>
  <c r="I25" i="3"/>
  <c r="D14" i="2"/>
  <c r="H20" i="3"/>
  <c r="H22" i="3"/>
  <c r="J49" i="3"/>
  <c r="E14" i="2"/>
  <c r="B14" i="1"/>
  <c r="G14" i="1"/>
  <c r="C14" i="2"/>
  <c r="G12" i="1"/>
  <c r="F70" i="3"/>
  <c r="C44" i="3"/>
  <c r="B10" i="3"/>
  <c r="B14" i="3"/>
  <c r="G18" i="2"/>
  <c r="J13" i="1"/>
  <c r="G11" i="1"/>
  <c r="E12" i="2"/>
  <c r="H13" i="1"/>
  <c r="K13" i="1"/>
  <c r="C16" i="2"/>
  <c r="E16" i="2"/>
  <c r="I71" i="3"/>
  <c r="I67" i="3"/>
  <c r="J5" i="1"/>
  <c r="K5" i="1"/>
  <c r="H12" i="1"/>
  <c r="J12" i="1"/>
  <c r="J70" i="3"/>
  <c r="I12" i="1"/>
  <c r="I70" i="3"/>
  <c r="C17" i="2"/>
  <c r="G16" i="2"/>
  <c r="G17" i="2"/>
  <c r="F16" i="2"/>
  <c r="E17" i="2"/>
  <c r="I16" i="2"/>
  <c r="I17" i="2"/>
  <c r="F16" i="1"/>
  <c r="F8" i="1"/>
  <c r="H71" i="3"/>
  <c r="H67" i="3"/>
  <c r="J22" i="3"/>
  <c r="F40" i="3"/>
  <c r="E40" i="3"/>
  <c r="D40" i="3"/>
  <c r="C40" i="3"/>
  <c r="G40" i="3"/>
  <c r="E15" i="2"/>
  <c r="I14" i="2"/>
  <c r="I15" i="2"/>
  <c r="F14" i="2"/>
  <c r="I12" i="2"/>
  <c r="I13" i="2"/>
  <c r="F12" i="2"/>
  <c r="E13" i="2"/>
  <c r="C16" i="1"/>
  <c r="C8" i="1"/>
  <c r="D16" i="1"/>
  <c r="D8" i="1"/>
  <c r="B16" i="1"/>
  <c r="G12" i="2"/>
  <c r="G13" i="2"/>
  <c r="C13" i="2"/>
  <c r="H12" i="2"/>
  <c r="H13" i="2"/>
  <c r="D13" i="2"/>
  <c r="D15" i="2"/>
  <c r="H14" i="2"/>
  <c r="H15" i="2"/>
  <c r="I53" i="3"/>
  <c r="J25" i="3"/>
  <c r="B26" i="3"/>
  <c r="E16" i="1"/>
  <c r="E8" i="1"/>
  <c r="H11" i="1"/>
  <c r="G14" i="2"/>
  <c r="G15" i="2"/>
  <c r="C15" i="2"/>
  <c r="J11" i="1"/>
  <c r="I11" i="1"/>
  <c r="C19" i="1"/>
  <c r="C17" i="1"/>
  <c r="K12" i="1"/>
  <c r="H70" i="3"/>
  <c r="E71" i="3"/>
  <c r="E55" i="3"/>
  <c r="B27" i="3"/>
  <c r="B28" i="3"/>
  <c r="B29" i="3"/>
  <c r="C61" i="3"/>
  <c r="C64" i="3"/>
  <c r="C26" i="3"/>
  <c r="D55" i="3"/>
  <c r="D71" i="3"/>
  <c r="J53" i="3"/>
  <c r="F71" i="3"/>
  <c r="F55" i="3"/>
  <c r="H6" i="1"/>
  <c r="J12" i="2"/>
  <c r="J71" i="3"/>
  <c r="J67" i="3"/>
  <c r="I69" i="3"/>
  <c r="I14" i="1"/>
  <c r="J69" i="3"/>
  <c r="J14" i="1"/>
  <c r="E19" i="1"/>
  <c r="E17" i="1"/>
  <c r="D19" i="1"/>
  <c r="D17" i="1"/>
  <c r="H69" i="3"/>
  <c r="K11" i="1"/>
  <c r="H14" i="1"/>
  <c r="K14" i="1"/>
  <c r="G71" i="3"/>
  <c r="G55" i="3"/>
  <c r="F19" i="1"/>
  <c r="F17" i="1"/>
  <c r="G16" i="1"/>
  <c r="G17" i="1"/>
  <c r="B19" i="1"/>
  <c r="B17" i="1"/>
  <c r="C55" i="3"/>
  <c r="C56" i="3"/>
  <c r="C7" i="3"/>
  <c r="C71" i="3"/>
  <c r="C12" i="3"/>
  <c r="D12" i="3"/>
  <c r="E12" i="3"/>
  <c r="F12" i="3"/>
  <c r="G12" i="3"/>
  <c r="H12" i="3"/>
  <c r="I12" i="3"/>
  <c r="J12" i="3"/>
  <c r="F23" i="1"/>
  <c r="F20" i="1"/>
  <c r="D61" i="3"/>
  <c r="D64" i="3"/>
  <c r="D26" i="3"/>
  <c r="C27" i="3"/>
  <c r="C28" i="3"/>
  <c r="D20" i="1"/>
  <c r="D23" i="1"/>
  <c r="H68" i="3"/>
  <c r="H7" i="1"/>
  <c r="I6" i="1"/>
  <c r="D44" i="3"/>
  <c r="D56" i="3"/>
  <c r="D7" i="3"/>
  <c r="C10" i="3"/>
  <c r="C14" i="3"/>
  <c r="C29" i="3"/>
  <c r="E20" i="1"/>
  <c r="E23" i="1"/>
  <c r="C20" i="1"/>
  <c r="C23" i="1"/>
  <c r="B20" i="1"/>
  <c r="G19" i="1"/>
  <c r="B23" i="1"/>
  <c r="E44" i="3"/>
  <c r="E56" i="3"/>
  <c r="E7" i="3"/>
  <c r="D10" i="3"/>
  <c r="D14" i="3"/>
  <c r="D29" i="3"/>
  <c r="I68" i="3"/>
  <c r="I7" i="1"/>
  <c r="J6" i="1"/>
  <c r="H16" i="1"/>
  <c r="H8" i="1"/>
  <c r="G23" i="1"/>
  <c r="G20" i="1"/>
  <c r="E61" i="3"/>
  <c r="E64" i="3"/>
  <c r="E26" i="3"/>
  <c r="D27" i="3"/>
  <c r="D28" i="3"/>
  <c r="F61" i="3"/>
  <c r="F64" i="3"/>
  <c r="F26" i="3"/>
  <c r="E27" i="3"/>
  <c r="E28" i="3"/>
  <c r="J68" i="3"/>
  <c r="J7" i="1"/>
  <c r="K6" i="1"/>
  <c r="H19" i="1"/>
  <c r="H17" i="1"/>
  <c r="I16" i="1"/>
  <c r="I8" i="1"/>
  <c r="F44" i="3"/>
  <c r="F56" i="3"/>
  <c r="E10" i="3"/>
  <c r="E14" i="3"/>
  <c r="E29" i="3"/>
  <c r="F7" i="3"/>
  <c r="F58" i="3"/>
  <c r="I19" i="1"/>
  <c r="I17" i="1"/>
  <c r="H45" i="3"/>
  <c r="H62" i="3"/>
  <c r="H20" i="1"/>
  <c r="J16" i="1"/>
  <c r="J8" i="1"/>
  <c r="K7" i="1"/>
  <c r="K8" i="1"/>
  <c r="G61" i="3"/>
  <c r="G64" i="3"/>
  <c r="G26" i="3"/>
  <c r="F27" i="3"/>
  <c r="F28" i="3"/>
  <c r="J19" i="1"/>
  <c r="J17" i="1"/>
  <c r="K16" i="1"/>
  <c r="K17" i="1"/>
  <c r="H61" i="3"/>
  <c r="H64" i="3"/>
  <c r="H26" i="3"/>
  <c r="G27" i="3"/>
  <c r="G28" i="3"/>
  <c r="I45" i="3"/>
  <c r="I62" i="3"/>
  <c r="I20" i="1"/>
  <c r="G44" i="3"/>
  <c r="G56" i="3"/>
  <c r="G7" i="3"/>
  <c r="F10" i="3"/>
  <c r="F14" i="3"/>
  <c r="F29" i="3"/>
  <c r="B41" i="3"/>
  <c r="G10" i="3"/>
  <c r="G14" i="3"/>
  <c r="G29" i="3"/>
  <c r="H44" i="3"/>
  <c r="H56" i="3"/>
  <c r="H7" i="3"/>
  <c r="I61" i="3"/>
  <c r="I64" i="3"/>
  <c r="I26" i="3"/>
  <c r="H27" i="3"/>
  <c r="H28" i="3"/>
  <c r="J45" i="3"/>
  <c r="J62" i="3"/>
  <c r="J20" i="1"/>
  <c r="K19" i="1"/>
  <c r="K20" i="1"/>
  <c r="J61" i="3"/>
  <c r="J64" i="3"/>
  <c r="J26" i="3"/>
  <c r="J27" i="3"/>
  <c r="J28" i="3"/>
  <c r="I27" i="3"/>
  <c r="I28" i="3"/>
  <c r="H10" i="3"/>
  <c r="H14" i="3"/>
  <c r="H29" i="3"/>
  <c r="I44" i="3"/>
  <c r="I56" i="3"/>
  <c r="I7" i="3"/>
  <c r="I10" i="3"/>
  <c r="I14" i="3"/>
  <c r="I29" i="3"/>
  <c r="J44" i="3"/>
  <c r="J56" i="3"/>
  <c r="J7" i="3"/>
  <c r="J10" i="3"/>
  <c r="J14" i="3"/>
  <c r="J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9" authorId="0" shapeId="0" xr:uid="{00000000-0006-0000-0000-000001000000}">
      <text>
        <r>
          <rPr>
            <sz val="10"/>
            <rFont val="Arial"/>
            <family val="2"/>
          </rPr>
          <t>No interest, tax, depreciation or other non-operating lines were provided in the export, so Net Income = Operating Income.</t>
        </r>
      </text>
    </comment>
    <comment ref="A22" authorId="0" shapeId="0" xr:uid="{00000000-0006-0000-0000-000002000000}">
      <text>
        <r>
          <rPr>
            <sz val="10"/>
            <rFont val="Arial"/>
            <family val="2"/>
          </rPr>
          <t>Source: bookkeeper's P&amp;L export (user-provided image).</t>
        </r>
      </text>
    </comment>
    <comment ref="D33" authorId="0" shapeId="0" xr:uid="{00000000-0006-0000-0000-000003000000}">
      <text>
        <r>
          <rPr>
            <sz val="10"/>
            <rFont val="Arial"/>
            <family val="2"/>
          </rPr>
          <t>User assumption: €17,400 one-time contractor expense was double-counted in COGS and Payroll; scrubbed from both.</t>
        </r>
      </text>
    </comment>
    <comment ref="E35" authorId="0" shapeId="0" xr:uid="{00000000-0006-0000-0000-000004000000}">
      <text>
        <r>
          <rPr>
            <sz val="10"/>
            <rFont val="Arial"/>
            <family val="2"/>
          </rPr>
          <t>User assumption: €37,000 of Month 9 consulting was a one-time fee.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100-000001000000}">
      <text>
        <r>
          <rPr>
            <sz val="10"/>
            <rFont val="Arial"/>
            <family val="2"/>
          </rPr>
          <t>Assumption: monthly growth below 2% is treated as noise; the line is forecast at its 5-month average instead.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6" authorId="0" shapeId="0" xr:uid="{00000000-0006-0000-0200-000001000000}">
      <text>
        <r>
          <rPr>
            <sz val="10"/>
            <rFont val="Arial"/>
            <family val="2"/>
          </rPr>
          <t>Opening equity is a plug that balances the opening balance sheet, because no Month 5 trial balance was provided. Replace it once the trial balance is available.</t>
        </r>
      </text>
    </comment>
    <comment ref="B32" authorId="0" shapeId="0" xr:uid="{00000000-0006-0000-0200-000002000000}">
      <text>
        <r>
          <rPr>
            <sz val="10"/>
            <rFont val="Arial"/>
            <family val="2"/>
          </rPr>
          <t>Source: bookkeeper context — cash at start of Month 6 was €118,000.</t>
        </r>
      </text>
    </comment>
    <comment ref="B33" authorId="0" shapeId="0" xr:uid="{00000000-0006-0000-0200-000003000000}">
      <text>
        <r>
          <rPr>
            <sz val="10"/>
            <rFont val="Arial"/>
            <family val="2"/>
          </rPr>
          <t>Source: bookkeeper context — cash at start of Month 10 was €61,000.</t>
        </r>
      </text>
    </comment>
    <comment ref="G40" authorId="0" shapeId="0" xr:uid="{00000000-0006-0000-0200-000004000000}">
      <text>
        <r>
          <rPr>
            <sz val="10"/>
            <rFont val="Arial"/>
            <family val="2"/>
          </rPr>
          <t>Assumption: no cash balance was given for the end of Month 10, so the Months 6–9 run-rate is assumed to continue. Overwrite this if the actual figure is known.</t>
        </r>
      </text>
    </comment>
    <comment ref="H40" authorId="0" shapeId="0" xr:uid="{00000000-0006-0000-0200-000005000000}">
      <text>
        <r>
          <rPr>
            <sz val="10"/>
            <rFont val="Arial"/>
            <family val="2"/>
          </rPr>
          <t>Assumption (per earlier instruction): forecast profit flows straight to cash; no further reinvestment.</t>
        </r>
      </text>
    </comment>
  </commentList>
</comments>
</file>

<file path=xl/sharedStrings.xml><?xml version="1.0" encoding="utf-8"?>
<sst xmlns="http://schemas.openxmlformats.org/spreadsheetml/2006/main" count="166" uniqueCount="140">
  <si>
    <t>Income Statement — Months 6–10 Actual (Adjusted for One-Time Items) + Months 11–13 Forecast</t>
  </si>
  <si>
    <t>All figures in EUR (€). Unaudited. Blue = input · black = formula · green = link to another tab · yellow = adjustment assumption · purple-shaded italic columns = FORECAST.</t>
  </si>
  <si>
    <t>FORECAST (Months 11–13)</t>
  </si>
  <si>
    <t>Line Item</t>
  </si>
  <si>
    <t>Month 6</t>
  </si>
  <si>
    <t>Month 7</t>
  </si>
  <si>
    <t>Month 8</t>
  </si>
  <si>
    <t>Month 9</t>
  </si>
  <si>
    <t>Month 10</t>
  </si>
  <si>
    <t>5-Month Total</t>
  </si>
  <si>
    <t>Month 11 (F)</t>
  </si>
  <si>
    <t>Month 12 (F)</t>
  </si>
  <si>
    <t>Month 13 (F)</t>
  </si>
  <si>
    <t>3-Mo Forecast Total</t>
  </si>
  <si>
    <t>Revenue</t>
  </si>
  <si>
    <t>COGS (incl. subcontractors) — adjusted</t>
  </si>
  <si>
    <t>Gross Profit</t>
  </si>
  <si>
    <t>Gross Margin %</t>
  </si>
  <si>
    <t>Operating Expenses</t>
  </si>
  <si>
    <t>Payroll — adjusted</t>
  </si>
  <si>
    <t>Consulting &amp; Professional Fees — adjusted</t>
  </si>
  <si>
    <t>Other OpEx</t>
  </si>
  <si>
    <t>Total Operating Expenses</t>
  </si>
  <si>
    <t>Operating Income</t>
  </si>
  <si>
    <t>Operating Margin %</t>
  </si>
  <si>
    <t>Net Margin %</t>
  </si>
  <si>
    <t>Net Profit (as reported)</t>
  </si>
  <si>
    <t>Check: Adjusted NI − (Reported NP + adjustments)  → must be 0</t>
  </si>
  <si>
    <t>Notes</t>
  </si>
  <si>
    <t>1. Source: bookkeeper P&amp;L export; figures are unaudited.</t>
  </si>
  <si>
    <t>2. No interest, tax, depreciation or other non-operating items were provided, so Net Income equals Operating Income.</t>
  </si>
  <si>
    <t>3. Months 6–10 are shown adjusted: one-time items in rows 33–35 are removed from the as-reported figures in rows 39–41. Row 23 reconciles back to reported net profit.</t>
  </si>
  <si>
    <t>4. Month 8 COGS is still elevated after the adjustment (€81,300, ~40% of revenue vs ~33% in other months) and is worth querying.</t>
  </si>
  <si>
    <t>5. Forecast: Revenue and COGS compound at their monthly growth rate where it exceeds the significance threshold (Analysis tab); OpEx is held at its adjusted 5-month average.</t>
  </si>
  <si>
    <t>ONE-TIME ITEMS SCRUBBED (normalization adjustments, €)</t>
  </si>
  <si>
    <t>Duplicated one-time contractor expense — removed from COGS</t>
  </si>
  <si>
    <t>Duplicated one-time contractor expense — removed from Payroll</t>
  </si>
  <si>
    <t>One-time consulting fee — removed from Consulting &amp; Prof. Fees</t>
  </si>
  <si>
    <t>Total adjustments (added back to Net Income)</t>
  </si>
  <si>
    <t>AS-REPORTED FIGURES (bookkeeper export, before adjustments)</t>
  </si>
  <si>
    <t>COGS (incl. subcontractors) — as reported</t>
  </si>
  <si>
    <t>Payroll — as reported</t>
  </si>
  <si>
    <t>Consulting &amp; Professional Fees — as reported</t>
  </si>
  <si>
    <t>Analysis — Adjusted Months 6–10 (averages, growth, % of revenue)</t>
  </si>
  <si>
    <t>Built on the adjusted (one-time items scrubbed) figures on the Income Statement. Growth = compound monthly growth from Month 6 to Month 10. Green = link to Income Statement; blue/yellow = assumption.</t>
  </si>
  <si>
    <t>ASSUMPTIONS</t>
  </si>
  <si>
    <t>Growth periods (Month 6 → Month 10)</t>
  </si>
  <si>
    <t>Significance threshold for applying a growth rate (absolute, monthly)</t>
  </si>
  <si>
    <t>MONTHLY</t>
  </si>
  <si>
    <t>ANNUALIZED</t>
  </si>
  <si>
    <t>Basis</t>
  </si>
  <si>
    <t>5-Month Avg</t>
  </si>
  <si>
    <t>Trailing 3-Mo Avg (M8–M10)</t>
  </si>
  <si>
    <t>Monthly Growth Rate</t>
  </si>
  <si>
    <t>Significant?</t>
  </si>
  <si>
    <t>5-Month Avg × 12</t>
  </si>
  <si>
    <t>Trailing 3-Mo Avg × 12</t>
  </si>
  <si>
    <t>Annualized Growth Rate</t>
  </si>
  <si>
    <t>Forecast Method</t>
  </si>
  <si>
    <t>€</t>
  </si>
  <si>
    <t>% of revenue</t>
  </si>
  <si>
    <t>COGS (adjusted)</t>
  </si>
  <si>
    <t>Payroll (adjusted)</t>
  </si>
  <si>
    <t>5-month average (fixed cost)</t>
  </si>
  <si>
    <t>Consulting &amp; Professional Fees (adjusted)</t>
  </si>
  <si>
    <t>1. On the % of revenue rows, the growth columns show how fast the line item grows relative to revenue: (1 + item growth) ÷ (1 + revenue growth) − 1. A positive figure means the cost is taking a rising share of revenue.</t>
  </si>
  <si>
    <t>2. Annualized % of revenue equals the monthly figure, because annualizing scales the cost and revenue equally.</t>
  </si>
  <si>
    <t>3. Month-over-month growth is noisy (for example, adjusted COGS rose 26% in Month 8 and fell 17% in Month 9), so the compound rate between endpoints is used.</t>
  </si>
  <si>
    <t>4. Per instruction, OpEx lines are treated as fixed and forecast at their adjusted 5-month average regardless of growth.</t>
  </si>
  <si>
    <t>Balance Sheet — Months 6–10 Actual + Months 11–13 Forecast (linked to Income Statement)</t>
  </si>
  <si>
    <t>All figures in EUR (€). Opening cash and Month 9 closing cash come from the bookkeeper; other balances have not been provided (yellow cells).</t>
  </si>
  <si>
    <t>Legend:  yellow fill / blue text = input  ·  green = link to Income Statement  ·  black = formula  ·  purple-shaded italic columns = FORECAST</t>
  </si>
  <si>
    <t>FORECAST</t>
  </si>
  <si>
    <t>Opening (End of Month 5)</t>
  </si>
  <si>
    <t>ASSETS</t>
  </si>
  <si>
    <t>Cash</t>
  </si>
  <si>
    <t>Accounts Receivable</t>
  </si>
  <si>
    <t>Other Current Assets (prepaids, WIP, etc.)</t>
  </si>
  <si>
    <t>Total Current Assets</t>
  </si>
  <si>
    <t>Fixed Assets (net)</t>
  </si>
  <si>
    <t>Reinvested in the Business (cumulative cash expenditures)</t>
  </si>
  <si>
    <t>Other Non-Current Assets</t>
  </si>
  <si>
    <t>TOTAL ASSETS</t>
  </si>
  <si>
    <t>LIABILITIES</t>
  </si>
  <si>
    <t>Accounts Payable (incl. subcontractors)</t>
  </si>
  <si>
    <t>Accrued Payroll &amp; Bonuses</t>
  </si>
  <si>
    <t>Accrued Expenses &amp; Other Current Liabilities</t>
  </si>
  <si>
    <t>Total Current Liabilities</t>
  </si>
  <si>
    <t>Long-Term Debt</t>
  </si>
  <si>
    <t>TOTAL LIABILITIES</t>
  </si>
  <si>
    <t>EQUITY</t>
  </si>
  <si>
    <t>Share Capital</t>
  </si>
  <si>
    <t>Retained Earnings</t>
  </si>
  <si>
    <t>TOTAL EQUITY</t>
  </si>
  <si>
    <t>TOTAL LIABILITIES &amp; EQUITY</t>
  </si>
  <si>
    <t>Balance check: Assets − (Liabilities + Equity)  → must be 0</t>
  </si>
  <si>
    <t>CASH EXPENDITURES — WHY CASH FELL WHILE PROFITS WERE POSITIVE (Months 6–9)</t>
  </si>
  <si>
    <t>Cash balance at start of Month 6 (= end of Month 5)</t>
  </si>
  <si>
    <t>Cash balance at start of Month 10 (= end of Month 9)</t>
  </si>
  <si>
    <t>Net change in cash, Months 6–9</t>
  </si>
  <si>
    <t>Cumulative reported net income, Months 6–9</t>
  </si>
  <si>
    <t>Other identified cash movements, Months 6–9 (working capital, debt, equity, dividends)</t>
  </si>
  <si>
    <t>Unexplained cash out → Cash Expenditures, Months 6–9</t>
  </si>
  <si>
    <t>Months smoothed over (Months 6, 7, 8, 9)</t>
  </si>
  <si>
    <t>Smoothed monthly cash expenditure</t>
  </si>
  <si>
    <t>Cash Expenditures (reinvestment, smoothed)</t>
  </si>
  <si>
    <t>Check: derived end-of-Month-9 cash − €61,000  → must be 0</t>
  </si>
  <si>
    <t>CASH BRIDGE — INDIRECT METHOD</t>
  </si>
  <si>
    <t>Opening Cash</t>
  </si>
  <si>
    <t>+ Net Income (actuals: as reported · forecast: I/S)</t>
  </si>
  <si>
    <t>(Increase) / decrease in Accounts Receivable</t>
  </si>
  <si>
    <t>(Increase) / decrease in Other Current Assets</t>
  </si>
  <si>
    <t>(Increase) / decrease in Fixed &amp; Other Non-Current Assets</t>
  </si>
  <si>
    <t>Increase / (decrease) in Accounts Payable</t>
  </si>
  <si>
    <t>Increase / (decrease) in Accrued Payroll</t>
  </si>
  <si>
    <t>Increase / (decrease) in Accrued Expenses</t>
  </si>
  <si>
    <t>Increase / (decrease) in Long-Term Debt</t>
  </si>
  <si>
    <t>Increase / (decrease) in Share Capital</t>
  </si>
  <si>
    <t>− Dividends / Distributions</t>
  </si>
  <si>
    <t>− Cash Expenditures (reinvestment, smoothed)</t>
  </si>
  <si>
    <t>Closing Cash (→ feeds Balance Sheet Cash)</t>
  </si>
  <si>
    <t>Cash per bank statement</t>
  </si>
  <si>
    <t>Difference: derived − bank  → must be 0</t>
  </si>
  <si>
    <t>RETAINED EARNINGS ROLL-FORWARD</t>
  </si>
  <si>
    <t>Opening Retained Earnings</t>
  </si>
  <si>
    <t>Closing Retained Earnings</t>
  </si>
  <si>
    <t>I/S ↔ B/S REASONABLENESS CHECKS  (30-day months assumed)</t>
  </si>
  <si>
    <t>Days Sales Outstanding  (AR ÷ Revenue × 30)</t>
  </si>
  <si>
    <t>Days Payable Outstanding  (AP ÷ COGS × 30)</t>
  </si>
  <si>
    <t>Accrued Payroll as % of month's Payroll</t>
  </si>
  <si>
    <t>Accrued Expenses as % of Consulting + Other OpEx</t>
  </si>
  <si>
    <t>Cash Expenditures as % of Revenue</t>
  </si>
  <si>
    <t>1. Cash anchors: €118,000 at the end of Month 5 and €61,000 at the end of Month 9 (bookkeeper). Profits of €39,400 were earned over Months 6–9, yet cash fell €57,000, so €96,400 left the business in ways the P&amp;L does not show.</t>
  </si>
  <si>
    <t>2. That €96,400 is spread evenly over Months 6–9 as Cash Expenditures (€24,100 a month). It is recorded as an asset, 'Reinvested in the Business', because profits are assumed to be reinvested. It is a placeholder until the bookkeeper classifies it (receivables build-up, capex, debt repayment, owner draws, etc.).</t>
  </si>
  <si>
    <t>3. If any balance sheet movements are entered in the yellow cells, the Cash Expenditures figure recalculates automatically, so only the still-unexplained remainder is smoothed.</t>
  </si>
  <si>
    <t>4. Month 10: no closing cash was provided, so the Months 6–9 run-rate is assumed to continue (cell G40, which can be overwritten).</t>
  </si>
  <si>
    <t>5. Forecast (Months 11–13): all net profit flows to Cash and Retained Earnings; no capex, depreciation, dividends or further reinvestment; other balances held at Month 10 levels.</t>
  </si>
  <si>
    <t>6. Actual months use REPORTED net profit. The scrubbed one-time items were still real costs that reduced cash and equity.</t>
  </si>
  <si>
    <t>7. Opening Retained Earnings (B26) is a plug so that the opening balance sheet balances until a Month 5 trial balance is provided.</t>
  </si>
  <si>
    <t>Net Income (Scrubbed)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</si>
</sst>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;&quot;(€&quot;#,##0\);\-"/>
    <numFmt numFmtId="165" formatCode="0.0%;\(0.0%\);\-"/>
    <numFmt numFmtId="166" formatCode="0.00%;\(0.00%\);\-"/>
    <numFmt numFmtId="167" formatCode="0.0;\(0.0\);\-"/>
  </numFmts>
  <fonts count="18" x14ac:knownFonts="1">
    <font>
      <sz val="11"/>
      <color theme="1"/>
      <name val="Calibri"/>
      <family val="2"/>
      <charset val="1"/>
    </font>
    <font>
      <b/>
      <sz val="14"/>
      <color rgb="FF7F6000"/>
      <name val="Arial"/>
      <charset val="1"/>
    </font>
    <font>
      <i/>
      <sz val="9"/>
      <color rgb="FF595959"/>
      <name val="Arial"/>
      <charset val="1"/>
    </font>
    <font>
      <sz val="11"/>
      <color rgb="FF000000"/>
      <name val="Arial"/>
      <charset val="1"/>
    </font>
    <font>
      <b/>
      <sz val="11"/>
      <color rgb="FF3F315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11"/>
      <color rgb="FF008000"/>
      <name val="Arial"/>
      <charset val="1"/>
    </font>
    <font>
      <b/>
      <i/>
      <sz val="11"/>
      <color rgb="FF000000"/>
      <name val="Arial"/>
      <charset val="1"/>
    </font>
    <font>
      <i/>
      <sz val="11"/>
      <name val="Arial"/>
      <charset val="1"/>
    </font>
    <font>
      <i/>
      <sz val="11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595959"/>
      <name val="Arial"/>
      <charset val="1"/>
    </font>
    <font>
      <sz val="10"/>
      <name val="Arial"/>
      <family val="2"/>
    </font>
    <font>
      <sz val="11"/>
      <color rgb="FF008000"/>
      <name val="Arial"/>
      <charset val="1"/>
    </font>
    <font>
      <i/>
      <sz val="11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4DFEC"/>
        <bgColor rgb="FFF2F2F2"/>
      </patternFill>
    </fill>
    <fill>
      <patternFill patternType="solid">
        <fgColor rgb="FF1F1F1F"/>
        <bgColor rgb="FF003300"/>
      </patternFill>
    </fill>
    <fill>
      <patternFill patternType="solid">
        <fgColor rgb="FF3F3151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4" fontId="9" fillId="2" borderId="0" xfId="0" applyNumberFormat="1" applyFont="1" applyFill="1"/>
    <xf numFmtId="164" fontId="10" fillId="2" borderId="0" xfId="0" applyNumberFormat="1" applyFont="1" applyFill="1"/>
    <xf numFmtId="164" fontId="3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164" fontId="10" fillId="2" borderId="1" xfId="0" applyNumberFormat="1" applyFont="1" applyFill="1" applyBorder="1"/>
    <xf numFmtId="0" fontId="11" fillId="0" borderId="0" xfId="0" applyFont="1" applyAlignment="1">
      <alignment indent="1"/>
    </xf>
    <xf numFmtId="165" fontId="11" fillId="0" borderId="0" xfId="0" applyNumberFormat="1" applyFont="1"/>
    <xf numFmtId="165" fontId="12" fillId="2" borderId="0" xfId="0" applyNumberFormat="1" applyFont="1" applyFill="1"/>
    <xf numFmtId="0" fontId="8" fillId="5" borderId="0" xfId="0" applyFont="1" applyFill="1"/>
    <xf numFmtId="0" fontId="0" fillId="5" borderId="0" xfId="0" applyFill="1"/>
    <xf numFmtId="0" fontId="6" fillId="0" borderId="1" xfId="0" applyFont="1" applyBorder="1"/>
    <xf numFmtId="164" fontId="6" fillId="0" borderId="1" xfId="0" applyNumberFormat="1" applyFont="1" applyBorder="1"/>
    <xf numFmtId="0" fontId="3" fillId="2" borderId="0" xfId="0" applyFont="1" applyFill="1"/>
    <xf numFmtId="164" fontId="6" fillId="0" borderId="0" xfId="0" applyNumberFormat="1" applyFont="1"/>
    <xf numFmtId="0" fontId="13" fillId="0" borderId="0" xfId="0" applyFont="1"/>
    <xf numFmtId="0" fontId="14" fillId="0" borderId="0" xfId="0" applyFont="1"/>
    <xf numFmtId="0" fontId="13" fillId="5" borderId="0" xfId="0" applyFont="1" applyFill="1"/>
    <xf numFmtId="0" fontId="3" fillId="0" borderId="0" xfId="0" applyFont="1" applyAlignment="1">
      <alignment indent="1"/>
    </xf>
    <xf numFmtId="164" fontId="7" fillId="6" borderId="0" xfId="0" applyNumberFormat="1" applyFont="1" applyFill="1"/>
    <xf numFmtId="164" fontId="13" fillId="0" borderId="0" xfId="0" applyNumberFormat="1" applyFont="1"/>
    <xf numFmtId="0" fontId="13" fillId="0" borderId="1" xfId="0" applyFont="1" applyBorder="1"/>
    <xf numFmtId="164" fontId="13" fillId="0" borderId="1" xfId="0" applyNumberFormat="1" applyFont="1" applyBorder="1"/>
    <xf numFmtId="0" fontId="3" fillId="0" borderId="0" xfId="0" applyFont="1"/>
    <xf numFmtId="1" fontId="7" fillId="6" borderId="0" xfId="0" applyNumberFormat="1" applyFont="1" applyFill="1"/>
    <xf numFmtId="165" fontId="7" fillId="6" borderId="0" xfId="0" applyNumberFormat="1" applyFont="1" applyFill="1"/>
    <xf numFmtId="0" fontId="4" fillId="2" borderId="0" xfId="0" applyFont="1" applyFill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164" fontId="16" fillId="0" borderId="0" xfId="0" applyNumberFormat="1" applyFont="1"/>
    <xf numFmtId="166" fontId="16" fillId="0" borderId="0" xfId="0" applyNumberFormat="1" applyFont="1"/>
    <xf numFmtId="164" fontId="3" fillId="2" borderId="0" xfId="0" applyNumberFormat="1" applyFont="1" applyFill="1"/>
    <xf numFmtId="166" fontId="3" fillId="2" borderId="0" xfId="0" applyNumberFormat="1" applyFont="1" applyFill="1"/>
    <xf numFmtId="0" fontId="0" fillId="0" borderId="2" xfId="0" applyBorder="1"/>
    <xf numFmtId="0" fontId="12" fillId="0" borderId="2" xfId="0" applyFont="1" applyBorder="1"/>
    <xf numFmtId="165" fontId="12" fillId="0" borderId="2" xfId="0" applyNumberFormat="1" applyFont="1" applyBorder="1"/>
    <xf numFmtId="166" fontId="12" fillId="0" borderId="2" xfId="0" applyNumberFormat="1" applyFont="1" applyBorder="1"/>
    <xf numFmtId="165" fontId="12" fillId="2" borderId="2" xfId="0" applyNumberFormat="1" applyFont="1" applyFill="1" applyBorder="1"/>
    <xf numFmtId="166" fontId="12" fillId="2" borderId="2" xfId="0" applyNumberFormat="1" applyFont="1" applyFill="1" applyBorder="1"/>
    <xf numFmtId="0" fontId="5" fillId="4" borderId="0" xfId="0" applyFont="1" applyFill="1" applyAlignment="1">
      <alignment horizontal="center" vertical="center" wrapText="1"/>
    </xf>
    <xf numFmtId="164" fontId="12" fillId="2" borderId="0" xfId="0" applyNumberFormat="1" applyFont="1" applyFill="1"/>
    <xf numFmtId="0" fontId="13" fillId="0" borderId="3" xfId="0" applyFont="1" applyBorder="1"/>
    <xf numFmtId="164" fontId="13" fillId="0" borderId="3" xfId="0" applyNumberFormat="1" applyFont="1" applyBorder="1"/>
    <xf numFmtId="164" fontId="10" fillId="2" borderId="3" xfId="0" applyNumberFormat="1" applyFont="1" applyFill="1" applyBorder="1"/>
    <xf numFmtId="164" fontId="3" fillId="6" borderId="0" xfId="0" applyNumberFormat="1" applyFont="1" applyFill="1"/>
    <xf numFmtId="0" fontId="12" fillId="0" borderId="0" xfId="0" applyFont="1"/>
    <xf numFmtId="164" fontId="12" fillId="0" borderId="0" xfId="0" applyNumberFormat="1" applyFont="1"/>
    <xf numFmtId="164" fontId="13" fillId="6" borderId="0" xfId="0" applyNumberFormat="1" applyFont="1" applyFill="1"/>
    <xf numFmtId="0" fontId="0" fillId="0" borderId="1" xfId="0" applyBorder="1"/>
    <xf numFmtId="164" fontId="17" fillId="2" borderId="0" xfId="0" applyNumberFormat="1" applyFont="1" applyFill="1"/>
    <xf numFmtId="167" fontId="3" fillId="0" borderId="0" xfId="0" applyNumberFormat="1" applyFont="1"/>
    <xf numFmtId="167" fontId="12" fillId="2" borderId="0" xfId="0" applyNumberFormat="1" applyFont="1" applyFill="1"/>
    <xf numFmtId="165" fontId="3" fillId="0" borderId="0" xfId="0" applyNumberFormat="1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3F3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3" sqref="G3"/>
    </sheetView>
  </sheetViews>
  <sheetFormatPr defaultColWidth="8.6328125" defaultRowHeight="14.5" x14ac:dyDescent="0.35"/>
  <cols>
    <col min="1" max="1" width="60" customWidth="1"/>
    <col min="2" max="3" width="14" customWidth="1"/>
    <col min="4" max="4" width="20.1796875" customWidth="1"/>
    <col min="5" max="7" width="14" customWidth="1"/>
    <col min="8" max="11" width="15" customWidth="1"/>
  </cols>
  <sheetData>
    <row r="1" spans="1:11" ht="17.25" customHeight="1" x14ac:dyDescent="0.4">
      <c r="A1" s="1" t="s">
        <v>0</v>
      </c>
    </row>
    <row r="2" spans="1:11" ht="15" customHeight="1" x14ac:dyDescent="0.35">
      <c r="A2" s="2" t="s">
        <v>1</v>
      </c>
      <c r="G2">
        <f>(F6/B6)^(1/4)-1</f>
        <v>3.1562279352950862E-2</v>
      </c>
      <c r="H2" s="3"/>
      <c r="I2" s="3"/>
      <c r="J2" s="3"/>
    </row>
    <row r="3" spans="1:11" ht="14.25" customHeight="1" x14ac:dyDescent="0.35">
      <c r="H3" s="64" t="s">
        <v>2</v>
      </c>
      <c r="I3" s="64"/>
      <c r="J3" s="64"/>
      <c r="K3" s="4"/>
    </row>
    <row r="4" spans="1:11" ht="30" customHeight="1" x14ac:dyDescent="0.35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7" t="s">
        <v>11</v>
      </c>
      <c r="J4" s="7" t="s">
        <v>12</v>
      </c>
      <c r="K4" s="7" t="s">
        <v>13</v>
      </c>
    </row>
    <row r="5" spans="1:11" ht="15" customHeight="1" x14ac:dyDescent="0.35">
      <c r="A5" s="8" t="s">
        <v>14</v>
      </c>
      <c r="B5" s="9">
        <v>187400</v>
      </c>
      <c r="C5" s="9">
        <v>194200</v>
      </c>
      <c r="D5" s="9">
        <v>201900</v>
      </c>
      <c r="E5" s="9">
        <v>198300</v>
      </c>
      <c r="F5" s="9">
        <v>210100</v>
      </c>
      <c r="G5" s="10">
        <f>SUM(B5:F5)</f>
        <v>991900</v>
      </c>
      <c r="H5" s="11">
        <f>IF(Analysis!$F$10="Yes",F5*(1+Analysis!$E$10),Analysis!$C$10)</f>
        <v>216192.27361651557</v>
      </c>
      <c r="I5" s="11">
        <f>IF(Analysis!$F$10="Yes",H5*(1+Analysis!$E$10),Analysis!$C$10)</f>
        <v>222461.20500465651</v>
      </c>
      <c r="J5" s="11">
        <f>IF(Analysis!$F$10="Yes",I5*(1+Analysis!$E$10),Analysis!$C$10)</f>
        <v>228911.91671311978</v>
      </c>
      <c r="K5" s="12">
        <f>SUM(H5:J5)</f>
        <v>667565.39533429185</v>
      </c>
    </row>
    <row r="6" spans="1:11" ht="15" customHeight="1" x14ac:dyDescent="0.35">
      <c r="A6" s="8" t="s">
        <v>15</v>
      </c>
      <c r="B6" s="13">
        <f>B39-B33</f>
        <v>61200</v>
      </c>
      <c r="C6" s="13">
        <f>C39-C33</f>
        <v>64500</v>
      </c>
      <c r="D6" s="13">
        <f>D39-D33</f>
        <v>81300</v>
      </c>
      <c r="E6" s="13">
        <f>E39-E33</f>
        <v>67100</v>
      </c>
      <c r="F6" s="13">
        <f>F39-F33</f>
        <v>69300</v>
      </c>
      <c r="G6" s="10">
        <f>SUM(B6:F6)</f>
        <v>343400</v>
      </c>
      <c r="H6" s="11">
        <f>IF(Analysis!$F$12="Yes",F6*(1+Analysis!$E$12),Analysis!$C$12)</f>
        <v>71487.2659591595</v>
      </c>
      <c r="I6" s="11">
        <f>IF(Analysis!$F$12="Yes",H6*(1+Analysis!$E$12),Analysis!$C$12)</f>
        <v>73743.567017541194</v>
      </c>
      <c r="J6" s="11">
        <f>IF(Analysis!$F$12="Yes",I6*(1+Analysis!$E$12),Analysis!$C$12)</f>
        <v>76071.082080231878</v>
      </c>
      <c r="K6" s="12">
        <f>SUM(H6:J6)</f>
        <v>221301.91505693254</v>
      </c>
    </row>
    <row r="7" spans="1:11" ht="15" customHeight="1" x14ac:dyDescent="0.35">
      <c r="A7" s="14" t="s">
        <v>16</v>
      </c>
      <c r="B7" s="15">
        <f>B5-B6</f>
        <v>126200</v>
      </c>
      <c r="C7" s="15">
        <f>C5-C6</f>
        <v>129700</v>
      </c>
      <c r="D7" s="15">
        <f>D5-D6</f>
        <v>120600</v>
      </c>
      <c r="E7" s="15">
        <f>E5-E6</f>
        <v>131200</v>
      </c>
      <c r="F7" s="15">
        <f>F5-F6</f>
        <v>140800</v>
      </c>
      <c r="G7" s="15">
        <f>SUM(B7:F7)</f>
        <v>648500</v>
      </c>
      <c r="H7" s="16">
        <f>H5-H6</f>
        <v>144705.00765735607</v>
      </c>
      <c r="I7" s="16">
        <f>I5-I6</f>
        <v>148717.6379871153</v>
      </c>
      <c r="J7" s="16">
        <f>J5-J6</f>
        <v>152840.83463288791</v>
      </c>
      <c r="K7" s="16">
        <f>SUM(H7:J7)</f>
        <v>446263.48027735931</v>
      </c>
    </row>
    <row r="8" spans="1:11" ht="15" customHeight="1" x14ac:dyDescent="0.35">
      <c r="A8" s="17" t="s">
        <v>17</v>
      </c>
      <c r="B8" s="18">
        <f t="shared" ref="B8:K8" si="0">IF(B5=0,0,B7/B5)</f>
        <v>0.67342582710779086</v>
      </c>
      <c r="C8" s="18">
        <f t="shared" si="0"/>
        <v>0.66786817713697222</v>
      </c>
      <c r="D8" s="18">
        <f t="shared" si="0"/>
        <v>0.59732540861812777</v>
      </c>
      <c r="E8" s="18">
        <f t="shared" si="0"/>
        <v>0.66162380231971762</v>
      </c>
      <c r="F8" s="18">
        <f t="shared" si="0"/>
        <v>0.67015706806282727</v>
      </c>
      <c r="G8" s="18">
        <f t="shared" si="0"/>
        <v>0.65379574553886477</v>
      </c>
      <c r="H8" s="19">
        <f t="shared" si="0"/>
        <v>0.66933477888315074</v>
      </c>
      <c r="I8" s="19">
        <f t="shared" si="0"/>
        <v>0.66851043975960833</v>
      </c>
      <c r="J8" s="19">
        <f t="shared" si="0"/>
        <v>0.66768404558174776</v>
      </c>
      <c r="K8" s="19">
        <f t="shared" si="0"/>
        <v>0.66849402829499149</v>
      </c>
    </row>
    <row r="10" spans="1:11" ht="15" customHeight="1" x14ac:dyDescent="0.35">
      <c r="A10" s="20" t="s">
        <v>18</v>
      </c>
      <c r="B10" s="21"/>
      <c r="C10" s="21"/>
      <c r="D10" s="21"/>
      <c r="E10" s="21"/>
      <c r="F10" s="21"/>
      <c r="G10" s="21"/>
      <c r="H10" s="4"/>
      <c r="I10" s="4"/>
      <c r="J10" s="4"/>
      <c r="K10" s="4"/>
    </row>
    <row r="11" spans="1:11" ht="15" customHeight="1" x14ac:dyDescent="0.35">
      <c r="A11" s="8" t="s">
        <v>19</v>
      </c>
      <c r="B11" s="13">
        <f t="shared" ref="B11:F12" si="1">B40-B34</f>
        <v>72000</v>
      </c>
      <c r="C11" s="13">
        <f t="shared" si="1"/>
        <v>72000</v>
      </c>
      <c r="D11" s="13">
        <f t="shared" si="1"/>
        <v>72000</v>
      </c>
      <c r="E11" s="13">
        <f t="shared" si="1"/>
        <v>72000</v>
      </c>
      <c r="F11" s="13">
        <f t="shared" si="1"/>
        <v>72000</v>
      </c>
      <c r="G11" s="10">
        <f>SUM(B11:F11)</f>
        <v>360000</v>
      </c>
      <c r="H11" s="11">
        <f>Analysis!$C$14</f>
        <v>72000</v>
      </c>
      <c r="I11" s="11">
        <f>Analysis!$C$14</f>
        <v>72000</v>
      </c>
      <c r="J11" s="11">
        <f>Analysis!$C$14</f>
        <v>72000</v>
      </c>
      <c r="K11" s="12">
        <f>SUM(H11:J11)</f>
        <v>216000</v>
      </c>
    </row>
    <row r="12" spans="1:11" ht="15" customHeight="1" x14ac:dyDescent="0.35">
      <c r="A12" s="8" t="s">
        <v>20</v>
      </c>
      <c r="B12" s="13">
        <f t="shared" si="1"/>
        <v>4100</v>
      </c>
      <c r="C12" s="13">
        <f t="shared" si="1"/>
        <v>3800</v>
      </c>
      <c r="D12" s="13">
        <f t="shared" si="1"/>
        <v>4200</v>
      </c>
      <c r="E12" s="13">
        <f t="shared" si="1"/>
        <v>4500</v>
      </c>
      <c r="F12" s="13">
        <f t="shared" si="1"/>
        <v>3900</v>
      </c>
      <c r="G12" s="10">
        <f>SUM(B12:F12)</f>
        <v>20500</v>
      </c>
      <c r="H12" s="11">
        <f>Analysis!$C$16</f>
        <v>4100</v>
      </c>
      <c r="I12" s="11">
        <f>Analysis!$C$16</f>
        <v>4100</v>
      </c>
      <c r="J12" s="11">
        <f>Analysis!$C$16</f>
        <v>4100</v>
      </c>
      <c r="K12" s="12">
        <f>SUM(H12:J12)</f>
        <v>12300</v>
      </c>
    </row>
    <row r="13" spans="1:11" ht="15" customHeight="1" x14ac:dyDescent="0.35">
      <c r="A13" s="8" t="s">
        <v>21</v>
      </c>
      <c r="B13" s="9">
        <v>22300</v>
      </c>
      <c r="C13" s="9">
        <v>23100</v>
      </c>
      <c r="D13" s="9">
        <v>21900</v>
      </c>
      <c r="E13" s="9">
        <v>24600</v>
      </c>
      <c r="F13" s="9">
        <v>23800</v>
      </c>
      <c r="G13" s="10">
        <f>SUM(B13:F13)</f>
        <v>115700</v>
      </c>
      <c r="H13" s="11">
        <f>Analysis!$C$18</f>
        <v>23140</v>
      </c>
      <c r="I13" s="11">
        <f>Analysis!$C$18</f>
        <v>23140</v>
      </c>
      <c r="J13" s="11">
        <f>Analysis!$C$18</f>
        <v>23140</v>
      </c>
      <c r="K13" s="12">
        <f>SUM(H13:J13)</f>
        <v>69420</v>
      </c>
    </row>
    <row r="14" spans="1:11" ht="15" customHeight="1" x14ac:dyDescent="0.35">
      <c r="A14" s="22" t="s">
        <v>22</v>
      </c>
      <c r="B14" s="23">
        <f>SUM(B11:B13)</f>
        <v>98400</v>
      </c>
      <c r="C14" s="23">
        <f>SUM(C11:C13)</f>
        <v>98900</v>
      </c>
      <c r="D14" s="23">
        <f>SUM(D11:D13)</f>
        <v>98100</v>
      </c>
      <c r="E14" s="23">
        <f>SUM(E11:E13)</f>
        <v>101100</v>
      </c>
      <c r="F14" s="23">
        <f>SUM(F11:F13)</f>
        <v>99700</v>
      </c>
      <c r="G14" s="15">
        <f>SUM(B14:F14)</f>
        <v>496200</v>
      </c>
      <c r="H14" s="16">
        <f>SUM(H11:H13)</f>
        <v>99240</v>
      </c>
      <c r="I14" s="16">
        <f>SUM(I11:I13)</f>
        <v>99240</v>
      </c>
      <c r="J14" s="16">
        <f>SUM(J11:J13)</f>
        <v>99240</v>
      </c>
      <c r="K14" s="16">
        <f>SUM(H14:J14)</f>
        <v>297720</v>
      </c>
    </row>
    <row r="16" spans="1:11" ht="15" customHeight="1" x14ac:dyDescent="0.35">
      <c r="A16" s="14" t="s">
        <v>23</v>
      </c>
      <c r="B16" s="15">
        <f>B7-B14</f>
        <v>27800</v>
      </c>
      <c r="C16" s="15">
        <f>C7-C14</f>
        <v>30800</v>
      </c>
      <c r="D16" s="15">
        <f>D7-D14</f>
        <v>22500</v>
      </c>
      <c r="E16" s="15">
        <f>E7-E14</f>
        <v>30100</v>
      </c>
      <c r="F16" s="15">
        <f>F7-F14</f>
        <v>41100</v>
      </c>
      <c r="G16" s="15">
        <f>SUM(B16:F16)</f>
        <v>152300</v>
      </c>
      <c r="H16" s="16">
        <f>H7-H14</f>
        <v>45465.007657356065</v>
      </c>
      <c r="I16" s="16">
        <f>I7-I14</f>
        <v>49477.637987115304</v>
      </c>
      <c r="J16" s="16">
        <f>J7-J14</f>
        <v>53600.834632887912</v>
      </c>
      <c r="K16" s="16">
        <f>SUM(H16:J16)</f>
        <v>148543.48027735928</v>
      </c>
    </row>
    <row r="17" spans="1:11" ht="15" customHeight="1" x14ac:dyDescent="0.35">
      <c r="A17" s="17" t="s">
        <v>24</v>
      </c>
      <c r="B17" s="18">
        <f t="shared" ref="B17:K17" si="2">IF(B5=0,0,B16/B5)</f>
        <v>0.14834578441835647</v>
      </c>
      <c r="C17" s="18">
        <f t="shared" si="2"/>
        <v>0.15859938208032956</v>
      </c>
      <c r="D17" s="18">
        <f t="shared" si="2"/>
        <v>0.11144130757800892</v>
      </c>
      <c r="E17" s="18">
        <f t="shared" si="2"/>
        <v>0.15179021684316693</v>
      </c>
      <c r="F17" s="18">
        <f t="shared" si="2"/>
        <v>0.19562113279390766</v>
      </c>
      <c r="G17" s="18">
        <f t="shared" si="2"/>
        <v>0.1535437040024196</v>
      </c>
      <c r="H17" s="19">
        <f t="shared" si="2"/>
        <v>0.21029894776906985</v>
      </c>
      <c r="I17" s="19">
        <f t="shared" si="2"/>
        <v>0.2224101860190843</v>
      </c>
      <c r="J17" s="19">
        <f t="shared" si="2"/>
        <v>0.23415484611953299</v>
      </c>
      <c r="K17" s="19">
        <f t="shared" si="2"/>
        <v>0.22251524916592516</v>
      </c>
    </row>
    <row r="19" spans="1:11" ht="15" customHeight="1" x14ac:dyDescent="0.35">
      <c r="A19" s="14" t="s">
        <v>139</v>
      </c>
      <c r="B19" s="15">
        <f>B16</f>
        <v>27800</v>
      </c>
      <c r="C19" s="15">
        <f>C16</f>
        <v>30800</v>
      </c>
      <c r="D19" s="15">
        <f>D16</f>
        <v>22500</v>
      </c>
      <c r="E19" s="15">
        <f>E16</f>
        <v>30100</v>
      </c>
      <c r="F19" s="15">
        <f>F16</f>
        <v>41100</v>
      </c>
      <c r="G19" s="15">
        <f>SUM(B19:F19)</f>
        <v>152300</v>
      </c>
      <c r="H19" s="16">
        <f>H16</f>
        <v>45465.007657356065</v>
      </c>
      <c r="I19" s="16">
        <f>I16</f>
        <v>49477.637987115304</v>
      </c>
      <c r="J19" s="16">
        <f>J16</f>
        <v>53600.834632887912</v>
      </c>
      <c r="K19" s="16">
        <f>SUM(H19:J19)</f>
        <v>148543.48027735928</v>
      </c>
    </row>
    <row r="20" spans="1:11" ht="15" customHeight="1" x14ac:dyDescent="0.35">
      <c r="A20" s="17" t="s">
        <v>25</v>
      </c>
      <c r="B20" s="18">
        <f t="shared" ref="B20:K20" si="3">IF(B5=0,0,B19/B5)</f>
        <v>0.14834578441835647</v>
      </c>
      <c r="C20" s="18">
        <f t="shared" si="3"/>
        <v>0.15859938208032956</v>
      </c>
      <c r="D20" s="18">
        <f t="shared" si="3"/>
        <v>0.11144130757800892</v>
      </c>
      <c r="E20" s="18">
        <f t="shared" si="3"/>
        <v>0.15179021684316693</v>
      </c>
      <c r="F20" s="18">
        <f t="shared" si="3"/>
        <v>0.19562113279390766</v>
      </c>
      <c r="G20" s="18">
        <f t="shared" si="3"/>
        <v>0.1535437040024196</v>
      </c>
      <c r="H20" s="19">
        <f t="shared" si="3"/>
        <v>0.21029894776906985</v>
      </c>
      <c r="I20" s="19">
        <f t="shared" si="3"/>
        <v>0.2224101860190843</v>
      </c>
      <c r="J20" s="19">
        <f t="shared" si="3"/>
        <v>0.23415484611953299</v>
      </c>
      <c r="K20" s="19">
        <f t="shared" si="3"/>
        <v>0.22251524916592516</v>
      </c>
    </row>
    <row r="22" spans="1:11" ht="15" customHeight="1" x14ac:dyDescent="0.35">
      <c r="A22" s="8" t="s">
        <v>26</v>
      </c>
      <c r="B22" s="9">
        <v>27800</v>
      </c>
      <c r="C22" s="9">
        <v>30800</v>
      </c>
      <c r="D22" s="9">
        <v>-12300</v>
      </c>
      <c r="E22" s="9">
        <v>-6900</v>
      </c>
      <c r="F22" s="9">
        <v>41100</v>
      </c>
      <c r="G22" s="10">
        <f>SUM(B22:F22)</f>
        <v>80500</v>
      </c>
      <c r="H22" s="4"/>
      <c r="I22" s="4"/>
      <c r="J22" s="4"/>
      <c r="K22" s="24"/>
    </row>
    <row r="23" spans="1:11" ht="15" customHeight="1" x14ac:dyDescent="0.35">
      <c r="A23" s="8" t="s">
        <v>27</v>
      </c>
      <c r="B23" s="25">
        <f t="shared" ref="B23:G23" si="4">B19-(B22+B36)</f>
        <v>0</v>
      </c>
      <c r="C23" s="25">
        <f t="shared" si="4"/>
        <v>0</v>
      </c>
      <c r="D23" s="25">
        <f t="shared" si="4"/>
        <v>0</v>
      </c>
      <c r="E23" s="25">
        <f t="shared" si="4"/>
        <v>0</v>
      </c>
      <c r="F23" s="25">
        <f t="shared" si="4"/>
        <v>0</v>
      </c>
      <c r="G23" s="10">
        <f t="shared" si="4"/>
        <v>0</v>
      </c>
      <c r="H23" s="4"/>
      <c r="I23" s="4"/>
      <c r="J23" s="4"/>
      <c r="K23" s="4"/>
    </row>
    <row r="25" spans="1:11" ht="15" customHeight="1" x14ac:dyDescent="0.35">
      <c r="A25" s="26" t="s">
        <v>28</v>
      </c>
    </row>
    <row r="26" spans="1:11" ht="15" customHeight="1" x14ac:dyDescent="0.35">
      <c r="A26" s="27" t="s">
        <v>29</v>
      </c>
    </row>
    <row r="27" spans="1:11" ht="15" customHeight="1" x14ac:dyDescent="0.35">
      <c r="A27" s="27" t="s">
        <v>30</v>
      </c>
    </row>
    <row r="28" spans="1:11" ht="15" customHeight="1" x14ac:dyDescent="0.35">
      <c r="A28" s="27" t="s">
        <v>31</v>
      </c>
    </row>
    <row r="29" spans="1:11" ht="15" customHeight="1" x14ac:dyDescent="0.35">
      <c r="A29" s="27" t="s">
        <v>32</v>
      </c>
    </row>
    <row r="30" spans="1:11" ht="14.25" customHeight="1" x14ac:dyDescent="0.35">
      <c r="A30" s="27" t="s">
        <v>33</v>
      </c>
    </row>
    <row r="32" spans="1:11" ht="14.25" customHeight="1" x14ac:dyDescent="0.35">
      <c r="A32" s="28" t="s">
        <v>34</v>
      </c>
      <c r="B32" s="21"/>
      <c r="C32" s="21"/>
      <c r="D32" s="21"/>
      <c r="E32" s="21"/>
      <c r="F32" s="21"/>
      <c r="G32" s="21"/>
    </row>
    <row r="33" spans="1:7" ht="14.25" customHeight="1" x14ac:dyDescent="0.35">
      <c r="A33" s="29" t="s">
        <v>35</v>
      </c>
      <c r="B33" s="9"/>
      <c r="C33" s="9"/>
      <c r="D33" s="30">
        <v>17400</v>
      </c>
      <c r="E33" s="9"/>
      <c r="F33" s="9"/>
      <c r="G33" s="31">
        <f>SUM(B33:F33)</f>
        <v>17400</v>
      </c>
    </row>
    <row r="34" spans="1:7" ht="14.25" customHeight="1" x14ac:dyDescent="0.35">
      <c r="A34" s="29" t="s">
        <v>36</v>
      </c>
      <c r="B34" s="9"/>
      <c r="C34" s="9"/>
      <c r="D34" s="30">
        <v>17400</v>
      </c>
      <c r="E34" s="9"/>
      <c r="F34" s="9"/>
      <c r="G34" s="31">
        <f>SUM(B34:F34)</f>
        <v>17400</v>
      </c>
    </row>
    <row r="35" spans="1:7" ht="14.25" customHeight="1" x14ac:dyDescent="0.35">
      <c r="A35" s="29" t="s">
        <v>37</v>
      </c>
      <c r="B35" s="9"/>
      <c r="C35" s="9"/>
      <c r="D35" s="9"/>
      <c r="E35" s="30">
        <v>37000</v>
      </c>
      <c r="F35" s="9"/>
      <c r="G35" s="31">
        <f>SUM(B35:F35)</f>
        <v>37000</v>
      </c>
    </row>
    <row r="36" spans="1:7" ht="14.25" customHeight="1" x14ac:dyDescent="0.35">
      <c r="A36" s="32" t="s">
        <v>38</v>
      </c>
      <c r="B36" s="33">
        <f t="shared" ref="B36:G36" si="5">SUM(B33:B35)</f>
        <v>0</v>
      </c>
      <c r="C36" s="33">
        <f t="shared" si="5"/>
        <v>0</v>
      </c>
      <c r="D36" s="33">
        <f t="shared" si="5"/>
        <v>34800</v>
      </c>
      <c r="E36" s="33">
        <f t="shared" si="5"/>
        <v>37000</v>
      </c>
      <c r="F36" s="33">
        <f t="shared" si="5"/>
        <v>0</v>
      </c>
      <c r="G36" s="33">
        <f t="shared" si="5"/>
        <v>71800</v>
      </c>
    </row>
    <row r="38" spans="1:7" ht="14.25" customHeight="1" x14ac:dyDescent="0.35">
      <c r="A38" s="28" t="s">
        <v>39</v>
      </c>
      <c r="B38" s="21"/>
      <c r="C38" s="21"/>
      <c r="D38" s="21"/>
      <c r="E38" s="21"/>
      <c r="F38" s="21"/>
      <c r="G38" s="21"/>
    </row>
    <row r="39" spans="1:7" ht="14.25" customHeight="1" x14ac:dyDescent="0.35">
      <c r="A39" s="29" t="s">
        <v>40</v>
      </c>
      <c r="B39" s="9">
        <v>61200</v>
      </c>
      <c r="C39" s="9">
        <v>64500</v>
      </c>
      <c r="D39" s="9">
        <v>98700</v>
      </c>
      <c r="E39" s="9">
        <v>67100</v>
      </c>
      <c r="F39" s="9">
        <v>69300</v>
      </c>
      <c r="G39" s="31">
        <f>SUM(B39:F39)</f>
        <v>360800</v>
      </c>
    </row>
    <row r="40" spans="1:7" ht="14.25" customHeight="1" x14ac:dyDescent="0.35">
      <c r="A40" s="29" t="s">
        <v>41</v>
      </c>
      <c r="B40" s="9">
        <v>72000</v>
      </c>
      <c r="C40" s="9">
        <v>72000</v>
      </c>
      <c r="D40" s="9">
        <v>89400</v>
      </c>
      <c r="E40" s="9">
        <v>72000</v>
      </c>
      <c r="F40" s="9">
        <v>72000</v>
      </c>
      <c r="G40" s="31">
        <f>SUM(B40:F40)</f>
        <v>377400</v>
      </c>
    </row>
    <row r="41" spans="1:7" ht="14.25" customHeight="1" x14ac:dyDescent="0.35">
      <c r="A41" s="29" t="s">
        <v>42</v>
      </c>
      <c r="B41" s="9">
        <v>4100</v>
      </c>
      <c r="C41" s="9">
        <v>3800</v>
      </c>
      <c r="D41" s="9">
        <v>4200</v>
      </c>
      <c r="E41" s="9">
        <v>41500</v>
      </c>
      <c r="F41" s="9">
        <v>3900</v>
      </c>
      <c r="G41" s="31">
        <f>SUM(B41:F41)</f>
        <v>57500</v>
      </c>
    </row>
  </sheetData>
  <mergeCells count="1">
    <mergeCell ref="H3:J3"/>
  </mergeCells>
  <conditionalFormatting sqref="B23:G23">
    <cfRule type="expression" dxfId="3" priority="2">
      <formula>B23&lt;&gt;0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0" sqref="A20"/>
    </sheetView>
  </sheetViews>
  <sheetFormatPr defaultColWidth="8.6328125" defaultRowHeight="14.5" x14ac:dyDescent="0.35"/>
  <cols>
    <col min="1" max="1" width="40" customWidth="1"/>
    <col min="2" max="2" width="14" customWidth="1"/>
    <col min="3" max="9" width="15" customWidth="1"/>
    <col min="10" max="10" width="28" customWidth="1"/>
  </cols>
  <sheetData>
    <row r="1" spans="1:10" ht="17.25" customHeight="1" x14ac:dyDescent="0.4">
      <c r="A1" s="1" t="s">
        <v>43</v>
      </c>
    </row>
    <row r="2" spans="1:10" ht="15" customHeight="1" x14ac:dyDescent="0.35">
      <c r="A2" s="2" t="s">
        <v>44</v>
      </c>
    </row>
    <row r="4" spans="1:10" ht="15" customHeight="1" x14ac:dyDescent="0.35">
      <c r="A4" s="28" t="s">
        <v>45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" customHeight="1" x14ac:dyDescent="0.35">
      <c r="A5" s="34" t="s">
        <v>46</v>
      </c>
      <c r="C5" s="35">
        <v>4</v>
      </c>
    </row>
    <row r="6" spans="1:10" ht="15" customHeight="1" x14ac:dyDescent="0.35">
      <c r="A6" s="34" t="s">
        <v>47</v>
      </c>
      <c r="C6" s="36">
        <v>0.02</v>
      </c>
    </row>
    <row r="8" spans="1:10" ht="15" customHeight="1" x14ac:dyDescent="0.35">
      <c r="C8" s="28" t="s">
        <v>48</v>
      </c>
      <c r="D8" s="21"/>
      <c r="E8" s="21"/>
      <c r="F8" s="21"/>
      <c r="G8" s="37" t="s">
        <v>49</v>
      </c>
      <c r="H8" s="4"/>
      <c r="I8" s="4"/>
    </row>
    <row r="9" spans="1:10" ht="31.5" customHeight="1" x14ac:dyDescent="0.35">
      <c r="A9" s="38" t="s">
        <v>3</v>
      </c>
      <c r="B9" s="38" t="s">
        <v>50</v>
      </c>
      <c r="C9" s="39" t="s">
        <v>51</v>
      </c>
      <c r="D9" s="39" t="s">
        <v>52</v>
      </c>
      <c r="E9" s="39" t="s">
        <v>53</v>
      </c>
      <c r="F9" s="39" t="s">
        <v>54</v>
      </c>
      <c r="G9" s="39" t="s">
        <v>55</v>
      </c>
      <c r="H9" s="39" t="s">
        <v>56</v>
      </c>
      <c r="I9" s="39" t="s">
        <v>57</v>
      </c>
      <c r="J9" s="39" t="s">
        <v>58</v>
      </c>
    </row>
    <row r="10" spans="1:10" ht="15" customHeight="1" x14ac:dyDescent="0.35">
      <c r="A10" s="26" t="s">
        <v>14</v>
      </c>
      <c r="B10" s="34" t="s">
        <v>59</v>
      </c>
      <c r="C10" s="40">
        <f>AVERAGE('Income Statement'!B5:F5)</f>
        <v>198380</v>
      </c>
      <c r="D10" s="40">
        <f>AVERAGE('Income Statement'!D5:F5)</f>
        <v>203433.33333333334</v>
      </c>
      <c r="E10" s="41">
        <f>IF('Income Statement'!B5&lt;=0,0,('Income Statement'!F5/'Income Statement'!B5)^(1/$C$5)-1)</f>
        <v>2.8997018641197414E-2</v>
      </c>
      <c r="F10" s="3" t="str">
        <f>IF(ABS(E10)&gt;=$C$6,"Yes","No")</f>
        <v>Yes</v>
      </c>
      <c r="G10" s="42">
        <f>C10*12</f>
        <v>2380560</v>
      </c>
      <c r="H10" s="42">
        <f>D10*12</f>
        <v>2441200</v>
      </c>
      <c r="I10" s="43">
        <f>(1+E10)^12-1</f>
        <v>0.40918949678530403</v>
      </c>
      <c r="J10" t="str">
        <f>IF(F10="Yes","Monthly growth rate","5-month average")</f>
        <v>Monthly growth rate</v>
      </c>
    </row>
    <row r="11" spans="1:10" ht="15" customHeight="1" x14ac:dyDescent="0.35">
      <c r="A11" s="44"/>
      <c r="B11" s="45" t="s">
        <v>60</v>
      </c>
      <c r="C11" s="46">
        <f>IF($C$10=0,0,C10/$C$10)</f>
        <v>1</v>
      </c>
      <c r="D11" s="46">
        <f>IF($D$10=0,0,D10/$D$10)</f>
        <v>1</v>
      </c>
      <c r="E11" s="47">
        <f>(1+E10)/(1+$E$10)-1</f>
        <v>0</v>
      </c>
      <c r="F11" s="44"/>
      <c r="G11" s="48">
        <f>IF($G$10=0,0,G10/$G$10)</f>
        <v>1</v>
      </c>
      <c r="H11" s="48">
        <f>IF($H$10=0,0,H10/$H$10)</f>
        <v>1</v>
      </c>
      <c r="I11" s="49">
        <f>(1+I10)/(1+$I$10)-1</f>
        <v>0</v>
      </c>
      <c r="J11" s="44"/>
    </row>
    <row r="12" spans="1:10" ht="15" customHeight="1" x14ac:dyDescent="0.35">
      <c r="A12" s="26" t="s">
        <v>61</v>
      </c>
      <c r="B12" s="34" t="s">
        <v>59</v>
      </c>
      <c r="C12" s="40">
        <f>AVERAGE('Income Statement'!B6:F6)</f>
        <v>68680</v>
      </c>
      <c r="D12" s="40">
        <f>AVERAGE('Income Statement'!D6:F6)</f>
        <v>72566.666666666672</v>
      </c>
      <c r="E12" s="41">
        <f>IF('Income Statement'!B6&lt;=0,0,('Income Statement'!F6/'Income Statement'!B6)^(1/$C$5)-1)</f>
        <v>3.1562279352950862E-2</v>
      </c>
      <c r="F12" s="3" t="str">
        <f>IF(ABS(E12)&gt;=$C$6,"Yes","No")</f>
        <v>Yes</v>
      </c>
      <c r="G12" s="42">
        <f>C12*12</f>
        <v>824160</v>
      </c>
      <c r="H12" s="42">
        <f>D12*12</f>
        <v>870800</v>
      </c>
      <c r="I12" s="43">
        <f>(1+E12)^12-1</f>
        <v>0.45192919295745893</v>
      </c>
      <c r="J12" t="str">
        <f>IF(F12="Yes","Monthly growth rate","5-month average")</f>
        <v>Monthly growth rate</v>
      </c>
    </row>
    <row r="13" spans="1:10" ht="15" customHeight="1" x14ac:dyDescent="0.35">
      <c r="A13" s="44"/>
      <c r="B13" s="45" t="s">
        <v>60</v>
      </c>
      <c r="C13" s="46">
        <f>IF($C$10=0,0,C12/$C$10)</f>
        <v>0.34620425446113517</v>
      </c>
      <c r="D13" s="46">
        <f>IF($D$10=0,0,D12/$D$10)</f>
        <v>0.35670981484515812</v>
      </c>
      <c r="E13" s="47">
        <f>(1+E12)/(1+$E$10)-1</f>
        <v>2.492971957431811E-3</v>
      </c>
      <c r="F13" s="44"/>
      <c r="G13" s="48">
        <f>IF($G$10=0,0,G12/$G$10)</f>
        <v>0.34620425446113517</v>
      </c>
      <c r="H13" s="48">
        <f>IF($H$10=0,0,H12/$H$10)</f>
        <v>0.35670981484515812</v>
      </c>
      <c r="I13" s="49">
        <f>(1+I12)/(1+$I$10)-1</f>
        <v>3.0329275281751888E-2</v>
      </c>
      <c r="J13" s="44"/>
    </row>
    <row r="14" spans="1:10" ht="15" customHeight="1" x14ac:dyDescent="0.35">
      <c r="A14" s="26" t="s">
        <v>62</v>
      </c>
      <c r="B14" s="34" t="s">
        <v>59</v>
      </c>
      <c r="C14" s="40">
        <f>AVERAGE('Income Statement'!B11:F11)</f>
        <v>72000</v>
      </c>
      <c r="D14" s="40">
        <f>AVERAGE('Income Statement'!D11:F11)</f>
        <v>72000</v>
      </c>
      <c r="E14" s="41">
        <f>IF('Income Statement'!B11&lt;=0,0,('Income Statement'!F11/'Income Statement'!B11)^(1/$C$5)-1)</f>
        <v>0</v>
      </c>
      <c r="F14" s="3" t="str">
        <f>IF(ABS(E14)&gt;=$C$6,"Yes","No")</f>
        <v>No</v>
      </c>
      <c r="G14" s="42">
        <f>C14*12</f>
        <v>864000</v>
      </c>
      <c r="H14" s="42">
        <f>D14*12</f>
        <v>864000</v>
      </c>
      <c r="I14" s="43">
        <f>(1+E14)^12-1</f>
        <v>0</v>
      </c>
      <c r="J14" t="s">
        <v>63</v>
      </c>
    </row>
    <row r="15" spans="1:10" ht="15" customHeight="1" x14ac:dyDescent="0.35">
      <c r="A15" s="44"/>
      <c r="B15" s="45" t="s">
        <v>60</v>
      </c>
      <c r="C15" s="46">
        <f>IF($C$10=0,0,C14/$C$10)</f>
        <v>0.36293981248109686</v>
      </c>
      <c r="D15" s="46">
        <f>IF($D$10=0,0,D14/$D$10)</f>
        <v>0.35392429952482385</v>
      </c>
      <c r="E15" s="47">
        <f>(1+E14)/(1+$E$10)-1</f>
        <v>-2.8179885962632101E-2</v>
      </c>
      <c r="F15" s="44"/>
      <c r="G15" s="48">
        <f>IF($G$10=0,0,G14/$G$10)</f>
        <v>0.36293981248109686</v>
      </c>
      <c r="H15" s="48">
        <f>IF($H$10=0,0,H14/$H$10)</f>
        <v>0.35392429952482385</v>
      </c>
      <c r="I15" s="49">
        <f>(1+I14)/(1+$I$10)-1</f>
        <v>-0.29037223007889457</v>
      </c>
      <c r="J15" s="44"/>
    </row>
    <row r="16" spans="1:10" ht="15" customHeight="1" x14ac:dyDescent="0.35">
      <c r="A16" s="26" t="s">
        <v>64</v>
      </c>
      <c r="B16" s="34" t="s">
        <v>59</v>
      </c>
      <c r="C16" s="40">
        <f>AVERAGE('Income Statement'!B12:F12)</f>
        <v>4100</v>
      </c>
      <c r="D16" s="40">
        <f>AVERAGE('Income Statement'!D12:F12)</f>
        <v>4200</v>
      </c>
      <c r="E16" s="41">
        <f>IF('Income Statement'!B12&lt;=0,0,('Income Statement'!F12/'Income Statement'!B12)^(1/$C$5)-1)</f>
        <v>-1.2424772284818308E-2</v>
      </c>
      <c r="F16" s="3" t="str">
        <f>IF(ABS(E16)&gt;=$C$6,"Yes","No")</f>
        <v>No</v>
      </c>
      <c r="G16" s="42">
        <f>C16*12</f>
        <v>49200</v>
      </c>
      <c r="H16" s="42">
        <f>D16*12</f>
        <v>50400</v>
      </c>
      <c r="I16" s="43">
        <f>(1+E16)^12-1</f>
        <v>-0.13931893036955312</v>
      </c>
      <c r="J16" t="s">
        <v>63</v>
      </c>
    </row>
    <row r="17" spans="1:10" ht="15" customHeight="1" x14ac:dyDescent="0.35">
      <c r="A17" s="44"/>
      <c r="B17" s="45" t="s">
        <v>60</v>
      </c>
      <c r="C17" s="46">
        <f>IF($C$10=0,0,C16/$C$10)</f>
        <v>2.0667405988506905E-2</v>
      </c>
      <c r="D17" s="46">
        <f>IF($D$10=0,0,D16/$D$10)</f>
        <v>2.0645584138948056E-2</v>
      </c>
      <c r="E17" s="47">
        <f>(1+E16)/(1+$E$10)-1</f>
        <v>-4.0254529581352561E-2</v>
      </c>
      <c r="F17" s="44"/>
      <c r="G17" s="48">
        <f>IF($G$10=0,0,G16/$G$10)</f>
        <v>2.0667405988506905E-2</v>
      </c>
      <c r="H17" s="48">
        <f>IF($H$10=0,0,H16/$H$10)</f>
        <v>2.0645584138948059E-2</v>
      </c>
      <c r="I17" s="49">
        <f>(1+I16)/(1+$I$10)-1</f>
        <v>-0.38923681194483439</v>
      </c>
      <c r="J17" s="44"/>
    </row>
    <row r="18" spans="1:10" ht="15" customHeight="1" x14ac:dyDescent="0.35">
      <c r="A18" s="26" t="s">
        <v>21</v>
      </c>
      <c r="B18" s="34" t="s">
        <v>59</v>
      </c>
      <c r="C18" s="40">
        <f>AVERAGE('Income Statement'!B13:F13)</f>
        <v>23140</v>
      </c>
      <c r="D18" s="40">
        <f>AVERAGE('Income Statement'!D13:F13)</f>
        <v>23433.333333333332</v>
      </c>
      <c r="E18" s="41">
        <f>IF('Income Statement'!B13&lt;=0,0,('Income Statement'!F13/'Income Statement'!B13)^(1/$C$5)-1)</f>
        <v>1.6407880270174147E-2</v>
      </c>
      <c r="F18" s="3" t="str">
        <f>IF(ABS(E18)&gt;=$C$6,"Yes","No")</f>
        <v>No</v>
      </c>
      <c r="G18" s="42">
        <f>C18*12</f>
        <v>277680</v>
      </c>
      <c r="H18" s="42">
        <f>D18*12</f>
        <v>281200</v>
      </c>
      <c r="I18" s="43">
        <f>(1+E18)^12-1</f>
        <v>0.2156716308220139</v>
      </c>
      <c r="J18" t="s">
        <v>63</v>
      </c>
    </row>
    <row r="19" spans="1:10" ht="15" customHeight="1" x14ac:dyDescent="0.35">
      <c r="A19" s="44"/>
      <c r="B19" s="45" t="s">
        <v>60</v>
      </c>
      <c r="C19" s="46">
        <f>IF($C$10=0,0,C18/$C$10)</f>
        <v>0.11664482306684142</v>
      </c>
      <c r="D19" s="46">
        <f>IF($D$10=0,0,D18/$D$10)</f>
        <v>0.11518925118794035</v>
      </c>
      <c r="E19" s="47">
        <f>(1+E18)/(1+$E$10)-1</f>
        <v>-1.2234377887360037E-2</v>
      </c>
      <c r="F19" s="44"/>
      <c r="G19" s="48">
        <f>IF($G$10=0,0,G18/$G$10)</f>
        <v>0.11664482306684142</v>
      </c>
      <c r="H19" s="48">
        <f>IF($H$10=0,0,H18/$H$10)</f>
        <v>0.11518925118794036</v>
      </c>
      <c r="I19" s="49">
        <f>(1+I18)/(1+$I$10)-1</f>
        <v>-0.13732565166342092</v>
      </c>
      <c r="J19" s="44"/>
    </row>
    <row r="22" spans="1:10" ht="15" customHeight="1" x14ac:dyDescent="0.35">
      <c r="A22" s="26" t="s">
        <v>28</v>
      </c>
    </row>
    <row r="23" spans="1:10" ht="15" customHeight="1" x14ac:dyDescent="0.35">
      <c r="A23" s="27" t="s">
        <v>65</v>
      </c>
    </row>
    <row r="24" spans="1:10" ht="15" customHeight="1" x14ac:dyDescent="0.35">
      <c r="A24" s="27" t="s">
        <v>66</v>
      </c>
    </row>
    <row r="25" spans="1:10" ht="15" customHeight="1" x14ac:dyDescent="0.35">
      <c r="A25" s="27" t="s">
        <v>67</v>
      </c>
    </row>
    <row r="26" spans="1:10" ht="15" customHeight="1" x14ac:dyDescent="0.35">
      <c r="A26" s="27" t="s">
        <v>68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"/>
  <sheetViews>
    <sheetView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H59" sqref="H59"/>
    </sheetView>
  </sheetViews>
  <sheetFormatPr defaultColWidth="8.6328125" defaultRowHeight="14.5" x14ac:dyDescent="0.35"/>
  <cols>
    <col min="1" max="1" width="70" customWidth="1"/>
    <col min="2" max="10" width="15" customWidth="1"/>
  </cols>
  <sheetData>
    <row r="1" spans="1:10" ht="18" x14ac:dyDescent="0.4">
      <c r="A1" s="1" t="s">
        <v>69</v>
      </c>
    </row>
    <row r="2" spans="1:10" x14ac:dyDescent="0.35">
      <c r="A2" s="2" t="s">
        <v>70</v>
      </c>
    </row>
    <row r="3" spans="1:10" x14ac:dyDescent="0.35">
      <c r="A3" s="2" t="s">
        <v>71</v>
      </c>
    </row>
    <row r="4" spans="1:10" x14ac:dyDescent="0.35">
      <c r="H4" s="37" t="s">
        <v>72</v>
      </c>
      <c r="I4" s="4"/>
      <c r="J4" s="4"/>
    </row>
    <row r="5" spans="1:10" ht="30" customHeight="1" x14ac:dyDescent="0.35">
      <c r="A5" s="38" t="s">
        <v>59</v>
      </c>
      <c r="B5" s="39" t="s">
        <v>73</v>
      </c>
      <c r="C5" s="39" t="s">
        <v>4</v>
      </c>
      <c r="D5" s="39" t="s">
        <v>5</v>
      </c>
      <c r="E5" s="39" t="s">
        <v>6</v>
      </c>
      <c r="F5" s="39" t="s">
        <v>7</v>
      </c>
      <c r="G5" s="39" t="s">
        <v>8</v>
      </c>
      <c r="H5" s="50" t="s">
        <v>10</v>
      </c>
      <c r="I5" s="50" t="s">
        <v>11</v>
      </c>
      <c r="J5" s="50" t="s">
        <v>12</v>
      </c>
    </row>
    <row r="6" spans="1:10" x14ac:dyDescent="0.35">
      <c r="A6" s="28" t="s">
        <v>74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35">
      <c r="A7" s="29" t="s">
        <v>75</v>
      </c>
      <c r="B7" s="13">
        <f>B32</f>
        <v>118000</v>
      </c>
      <c r="C7" s="13">
        <f t="shared" ref="C7:J7" si="0">C56</f>
        <v>121700</v>
      </c>
      <c r="D7" s="13">
        <f t="shared" si="0"/>
        <v>128400</v>
      </c>
      <c r="E7" s="13">
        <f t="shared" si="0"/>
        <v>92000</v>
      </c>
      <c r="F7" s="13">
        <f t="shared" si="0"/>
        <v>61000</v>
      </c>
      <c r="G7" s="13">
        <f t="shared" si="0"/>
        <v>78000</v>
      </c>
      <c r="H7" s="51">
        <f t="shared" si="0"/>
        <v>99365.007657356065</v>
      </c>
      <c r="I7" s="51">
        <f t="shared" si="0"/>
        <v>124742.64564447137</v>
      </c>
      <c r="J7" s="51">
        <f t="shared" si="0"/>
        <v>154243.48027735928</v>
      </c>
    </row>
    <row r="8" spans="1:10" x14ac:dyDescent="0.35">
      <c r="A8" s="29" t="s">
        <v>76</v>
      </c>
      <c r="B8" s="30"/>
      <c r="C8" s="30"/>
      <c r="D8" s="30"/>
      <c r="E8" s="30"/>
      <c r="F8" s="30"/>
      <c r="G8" s="30"/>
      <c r="H8" s="51">
        <f t="shared" ref="H8:J9" si="1">G8</f>
        <v>0</v>
      </c>
      <c r="I8" s="51">
        <f t="shared" si="1"/>
        <v>0</v>
      </c>
      <c r="J8" s="51">
        <f t="shared" si="1"/>
        <v>0</v>
      </c>
    </row>
    <row r="9" spans="1:10" x14ac:dyDescent="0.35">
      <c r="A9" s="29" t="s">
        <v>77</v>
      </c>
      <c r="B9" s="30"/>
      <c r="C9" s="30"/>
      <c r="D9" s="30"/>
      <c r="E9" s="30"/>
      <c r="F9" s="30"/>
      <c r="G9" s="30"/>
      <c r="H9" s="51">
        <f t="shared" si="1"/>
        <v>0</v>
      </c>
      <c r="I9" s="51">
        <f t="shared" si="1"/>
        <v>0</v>
      </c>
      <c r="J9" s="51">
        <f t="shared" si="1"/>
        <v>0</v>
      </c>
    </row>
    <row r="10" spans="1:10" x14ac:dyDescent="0.35">
      <c r="A10" s="32" t="s">
        <v>78</v>
      </c>
      <c r="B10" s="33">
        <f t="shared" ref="B10:J10" si="2">SUM(B7:B9)</f>
        <v>118000</v>
      </c>
      <c r="C10" s="33">
        <f t="shared" si="2"/>
        <v>121700</v>
      </c>
      <c r="D10" s="33">
        <f t="shared" si="2"/>
        <v>128400</v>
      </c>
      <c r="E10" s="33">
        <f t="shared" si="2"/>
        <v>92000</v>
      </c>
      <c r="F10" s="33">
        <f t="shared" si="2"/>
        <v>61000</v>
      </c>
      <c r="G10" s="33">
        <f t="shared" si="2"/>
        <v>78000</v>
      </c>
      <c r="H10" s="16">
        <f t="shared" si="2"/>
        <v>99365.007657356065</v>
      </c>
      <c r="I10" s="16">
        <f t="shared" si="2"/>
        <v>124742.64564447137</v>
      </c>
      <c r="J10" s="16">
        <f t="shared" si="2"/>
        <v>154243.48027735928</v>
      </c>
    </row>
    <row r="11" spans="1:10" x14ac:dyDescent="0.35">
      <c r="A11" s="29" t="s">
        <v>79</v>
      </c>
      <c r="B11" s="30"/>
      <c r="C11" s="30"/>
      <c r="D11" s="30"/>
      <c r="E11" s="30"/>
      <c r="F11" s="30"/>
      <c r="G11" s="30"/>
      <c r="H11" s="51">
        <f>G11</f>
        <v>0</v>
      </c>
      <c r="I11" s="51">
        <f>H11</f>
        <v>0</v>
      </c>
      <c r="J11" s="51">
        <f>I11</f>
        <v>0</v>
      </c>
    </row>
    <row r="12" spans="1:10" x14ac:dyDescent="0.35">
      <c r="A12" s="29" t="s">
        <v>80</v>
      </c>
      <c r="B12" s="30"/>
      <c r="C12" s="13">
        <f t="shared" ref="C12:J12" si="3">B12+C40</f>
        <v>24100</v>
      </c>
      <c r="D12" s="13">
        <f t="shared" si="3"/>
        <v>48200</v>
      </c>
      <c r="E12" s="13">
        <f t="shared" si="3"/>
        <v>72300</v>
      </c>
      <c r="F12" s="13">
        <f t="shared" si="3"/>
        <v>96400</v>
      </c>
      <c r="G12" s="13">
        <f t="shared" si="3"/>
        <v>120500</v>
      </c>
      <c r="H12" s="51">
        <f t="shared" si="3"/>
        <v>144600</v>
      </c>
      <c r="I12" s="51">
        <f t="shared" si="3"/>
        <v>168700</v>
      </c>
      <c r="J12" s="51">
        <f t="shared" si="3"/>
        <v>192800</v>
      </c>
    </row>
    <row r="13" spans="1:10" x14ac:dyDescent="0.35">
      <c r="A13" s="29" t="s">
        <v>81</v>
      </c>
      <c r="B13" s="30"/>
      <c r="C13" s="30"/>
      <c r="D13" s="30"/>
      <c r="E13" s="30"/>
      <c r="F13" s="30"/>
      <c r="G13" s="30"/>
      <c r="H13" s="51">
        <f>G13</f>
        <v>0</v>
      </c>
      <c r="I13" s="51">
        <f>H13</f>
        <v>0</v>
      </c>
      <c r="J13" s="51">
        <f>I13</f>
        <v>0</v>
      </c>
    </row>
    <row r="14" spans="1:10" x14ac:dyDescent="0.35">
      <c r="A14" s="52" t="s">
        <v>82</v>
      </c>
      <c r="B14" s="53">
        <f t="shared" ref="B14:J14" si="4">B10+B11+B12+B13</f>
        <v>118000</v>
      </c>
      <c r="C14" s="53">
        <f t="shared" si="4"/>
        <v>145800</v>
      </c>
      <c r="D14" s="53">
        <f t="shared" si="4"/>
        <v>176600</v>
      </c>
      <c r="E14" s="53">
        <f t="shared" si="4"/>
        <v>164300</v>
      </c>
      <c r="F14" s="53">
        <f t="shared" si="4"/>
        <v>157400</v>
      </c>
      <c r="G14" s="53">
        <f t="shared" si="4"/>
        <v>198500</v>
      </c>
      <c r="H14" s="54">
        <f t="shared" si="4"/>
        <v>243965.00765735607</v>
      </c>
      <c r="I14" s="54">
        <f t="shared" si="4"/>
        <v>293442.6456444714</v>
      </c>
      <c r="J14" s="54">
        <f t="shared" si="4"/>
        <v>347043.48027735925</v>
      </c>
    </row>
    <row r="16" spans="1:10" x14ac:dyDescent="0.35">
      <c r="A16" s="28" t="s">
        <v>83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35">
      <c r="A17" s="29" t="s">
        <v>84</v>
      </c>
      <c r="B17" s="30"/>
      <c r="C17" s="30"/>
      <c r="D17" s="30"/>
      <c r="E17" s="30"/>
      <c r="F17" s="30"/>
      <c r="G17" s="30"/>
      <c r="H17" s="51">
        <f t="shared" ref="H17:J19" si="5">G17</f>
        <v>0</v>
      </c>
      <c r="I17" s="51">
        <f t="shared" si="5"/>
        <v>0</v>
      </c>
      <c r="J17" s="51">
        <f t="shared" si="5"/>
        <v>0</v>
      </c>
    </row>
    <row r="18" spans="1:10" x14ac:dyDescent="0.35">
      <c r="A18" s="29" t="s">
        <v>85</v>
      </c>
      <c r="B18" s="30"/>
      <c r="C18" s="30"/>
      <c r="D18" s="30"/>
      <c r="E18" s="30"/>
      <c r="F18" s="30"/>
      <c r="G18" s="30"/>
      <c r="H18" s="51">
        <f t="shared" si="5"/>
        <v>0</v>
      </c>
      <c r="I18" s="51">
        <f t="shared" si="5"/>
        <v>0</v>
      </c>
      <c r="J18" s="51">
        <f t="shared" si="5"/>
        <v>0</v>
      </c>
    </row>
    <row r="19" spans="1:10" x14ac:dyDescent="0.35">
      <c r="A19" s="29" t="s">
        <v>86</v>
      </c>
      <c r="B19" s="30"/>
      <c r="C19" s="30"/>
      <c r="D19" s="30"/>
      <c r="E19" s="30"/>
      <c r="F19" s="30"/>
      <c r="G19" s="30"/>
      <c r="H19" s="51">
        <f t="shared" si="5"/>
        <v>0</v>
      </c>
      <c r="I19" s="51">
        <f t="shared" si="5"/>
        <v>0</v>
      </c>
      <c r="J19" s="51">
        <f t="shared" si="5"/>
        <v>0</v>
      </c>
    </row>
    <row r="20" spans="1:10" x14ac:dyDescent="0.35">
      <c r="A20" s="32" t="s">
        <v>87</v>
      </c>
      <c r="B20" s="33">
        <f t="shared" ref="B20:J20" si="6">SUM(B17:B19)</f>
        <v>0</v>
      </c>
      <c r="C20" s="33">
        <f t="shared" si="6"/>
        <v>0</v>
      </c>
      <c r="D20" s="33">
        <f t="shared" si="6"/>
        <v>0</v>
      </c>
      <c r="E20" s="33">
        <f t="shared" si="6"/>
        <v>0</v>
      </c>
      <c r="F20" s="33">
        <f t="shared" si="6"/>
        <v>0</v>
      </c>
      <c r="G20" s="33">
        <f t="shared" si="6"/>
        <v>0</v>
      </c>
      <c r="H20" s="16">
        <f t="shared" si="6"/>
        <v>0</v>
      </c>
      <c r="I20" s="16">
        <f t="shared" si="6"/>
        <v>0</v>
      </c>
      <c r="J20" s="16">
        <f t="shared" si="6"/>
        <v>0</v>
      </c>
    </row>
    <row r="21" spans="1:10" x14ac:dyDescent="0.35">
      <c r="A21" s="29" t="s">
        <v>88</v>
      </c>
      <c r="B21" s="30"/>
      <c r="C21" s="30"/>
      <c r="D21" s="30"/>
      <c r="E21" s="30"/>
      <c r="F21" s="30"/>
      <c r="G21" s="30"/>
      <c r="H21" s="51">
        <f>G21</f>
        <v>0</v>
      </c>
      <c r="I21" s="51">
        <f>H21</f>
        <v>0</v>
      </c>
      <c r="J21" s="51">
        <f>I21</f>
        <v>0</v>
      </c>
    </row>
    <row r="22" spans="1:10" x14ac:dyDescent="0.35">
      <c r="A22" s="32" t="s">
        <v>89</v>
      </c>
      <c r="B22" s="33">
        <f t="shared" ref="B22:J22" si="7">B20+B21</f>
        <v>0</v>
      </c>
      <c r="C22" s="33">
        <f t="shared" si="7"/>
        <v>0</v>
      </c>
      <c r="D22" s="33">
        <f t="shared" si="7"/>
        <v>0</v>
      </c>
      <c r="E22" s="33">
        <f t="shared" si="7"/>
        <v>0</v>
      </c>
      <c r="F22" s="33">
        <f t="shared" si="7"/>
        <v>0</v>
      </c>
      <c r="G22" s="33">
        <f t="shared" si="7"/>
        <v>0</v>
      </c>
      <c r="H22" s="16">
        <f t="shared" si="7"/>
        <v>0</v>
      </c>
      <c r="I22" s="16">
        <f t="shared" si="7"/>
        <v>0</v>
      </c>
      <c r="J22" s="16">
        <f t="shared" si="7"/>
        <v>0</v>
      </c>
    </row>
    <row r="24" spans="1:10" x14ac:dyDescent="0.35">
      <c r="A24" s="28" t="s">
        <v>90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35">
      <c r="A25" s="29" t="s">
        <v>91</v>
      </c>
      <c r="B25" s="30"/>
      <c r="C25" s="30"/>
      <c r="D25" s="30"/>
      <c r="E25" s="30"/>
      <c r="F25" s="30"/>
      <c r="G25" s="30"/>
      <c r="H25" s="51">
        <f>G25</f>
        <v>0</v>
      </c>
      <c r="I25" s="51">
        <f>H25</f>
        <v>0</v>
      </c>
      <c r="J25" s="51">
        <f>I25</f>
        <v>0</v>
      </c>
    </row>
    <row r="26" spans="1:10" x14ac:dyDescent="0.35">
      <c r="A26" s="29" t="s">
        <v>92</v>
      </c>
      <c r="B26" s="55">
        <f>B14-B22-B25</f>
        <v>118000</v>
      </c>
      <c r="C26" s="13">
        <f t="shared" ref="C26:J26" si="8">C64</f>
        <v>145800</v>
      </c>
      <c r="D26" s="13">
        <f t="shared" si="8"/>
        <v>176600</v>
      </c>
      <c r="E26" s="13">
        <f t="shared" si="8"/>
        <v>164300</v>
      </c>
      <c r="F26" s="13">
        <f t="shared" si="8"/>
        <v>157400</v>
      </c>
      <c r="G26" s="13">
        <f t="shared" si="8"/>
        <v>198500</v>
      </c>
      <c r="H26" s="51">
        <f t="shared" si="8"/>
        <v>243965.00765735607</v>
      </c>
      <c r="I26" s="51">
        <f t="shared" si="8"/>
        <v>293442.6456444714</v>
      </c>
      <c r="J26" s="51">
        <f t="shared" si="8"/>
        <v>347043.48027735931</v>
      </c>
    </row>
    <row r="27" spans="1:10" x14ac:dyDescent="0.35">
      <c r="A27" s="32" t="s">
        <v>93</v>
      </c>
      <c r="B27" s="33">
        <f t="shared" ref="B27:J27" si="9">B25+B26</f>
        <v>118000</v>
      </c>
      <c r="C27" s="33">
        <f t="shared" si="9"/>
        <v>145800</v>
      </c>
      <c r="D27" s="33">
        <f t="shared" si="9"/>
        <v>176600</v>
      </c>
      <c r="E27" s="33">
        <f t="shared" si="9"/>
        <v>164300</v>
      </c>
      <c r="F27" s="33">
        <f t="shared" si="9"/>
        <v>157400</v>
      </c>
      <c r="G27" s="33">
        <f t="shared" si="9"/>
        <v>198500</v>
      </c>
      <c r="H27" s="16">
        <f t="shared" si="9"/>
        <v>243965.00765735607</v>
      </c>
      <c r="I27" s="16">
        <f t="shared" si="9"/>
        <v>293442.6456444714</v>
      </c>
      <c r="J27" s="16">
        <f t="shared" si="9"/>
        <v>347043.48027735931</v>
      </c>
    </row>
    <row r="28" spans="1:10" x14ac:dyDescent="0.35">
      <c r="A28" s="52" t="s">
        <v>94</v>
      </c>
      <c r="B28" s="53">
        <f t="shared" ref="B28:J28" si="10">B22+B27</f>
        <v>118000</v>
      </c>
      <c r="C28" s="53">
        <f t="shared" si="10"/>
        <v>145800</v>
      </c>
      <c r="D28" s="53">
        <f t="shared" si="10"/>
        <v>176600</v>
      </c>
      <c r="E28" s="53">
        <f t="shared" si="10"/>
        <v>164300</v>
      </c>
      <c r="F28" s="53">
        <f t="shared" si="10"/>
        <v>157400</v>
      </c>
      <c r="G28" s="53">
        <f t="shared" si="10"/>
        <v>198500</v>
      </c>
      <c r="H28" s="54">
        <f t="shared" si="10"/>
        <v>243965.00765735607</v>
      </c>
      <c r="I28" s="54">
        <f t="shared" si="10"/>
        <v>293442.6456444714</v>
      </c>
      <c r="J28" s="54">
        <f t="shared" si="10"/>
        <v>347043.48027735931</v>
      </c>
    </row>
    <row r="29" spans="1:10" x14ac:dyDescent="0.35">
      <c r="A29" s="56" t="s">
        <v>95</v>
      </c>
      <c r="B29" s="57">
        <f t="shared" ref="B29:J29" si="11">ROUND(B14-B28,2)</f>
        <v>0</v>
      </c>
      <c r="C29" s="57">
        <f t="shared" si="11"/>
        <v>0</v>
      </c>
      <c r="D29" s="57">
        <f t="shared" si="11"/>
        <v>0</v>
      </c>
      <c r="E29" s="57">
        <f t="shared" si="11"/>
        <v>0</v>
      </c>
      <c r="F29" s="57">
        <f t="shared" si="11"/>
        <v>0</v>
      </c>
      <c r="G29" s="57">
        <f t="shared" si="11"/>
        <v>0</v>
      </c>
      <c r="H29" s="51">
        <f t="shared" si="11"/>
        <v>0</v>
      </c>
      <c r="I29" s="51">
        <f t="shared" si="11"/>
        <v>0</v>
      </c>
      <c r="J29" s="51">
        <f t="shared" si="11"/>
        <v>0</v>
      </c>
    </row>
    <row r="31" spans="1:10" x14ac:dyDescent="0.35">
      <c r="A31" s="28" t="s">
        <v>96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x14ac:dyDescent="0.35">
      <c r="A32" s="29" t="s">
        <v>97</v>
      </c>
      <c r="B32" s="30">
        <v>118000</v>
      </c>
    </row>
    <row r="33" spans="1:10" x14ac:dyDescent="0.35">
      <c r="A33" s="29" t="s">
        <v>98</v>
      </c>
      <c r="B33" s="30">
        <v>61000</v>
      </c>
    </row>
    <row r="34" spans="1:10" x14ac:dyDescent="0.35">
      <c r="A34" s="29" t="s">
        <v>99</v>
      </c>
      <c r="B34" s="13">
        <f>B33-B32</f>
        <v>-57000</v>
      </c>
    </row>
    <row r="35" spans="1:10" x14ac:dyDescent="0.35">
      <c r="A35" s="29" t="s">
        <v>100</v>
      </c>
      <c r="B35" s="13">
        <f>SUM(C45:F45)</f>
        <v>39400</v>
      </c>
    </row>
    <row r="36" spans="1:10" x14ac:dyDescent="0.35">
      <c r="A36" s="29" t="s">
        <v>101</v>
      </c>
      <c r="B36" s="13">
        <f>SUM(C46:F54)</f>
        <v>0</v>
      </c>
    </row>
    <row r="37" spans="1:10" x14ac:dyDescent="0.35">
      <c r="A37" s="26" t="s">
        <v>102</v>
      </c>
      <c r="B37" s="33">
        <f>B35+B36-B34</f>
        <v>96400</v>
      </c>
    </row>
    <row r="38" spans="1:10" x14ac:dyDescent="0.35">
      <c r="A38" s="29" t="s">
        <v>103</v>
      </c>
      <c r="B38" s="35">
        <v>4</v>
      </c>
    </row>
    <row r="39" spans="1:10" x14ac:dyDescent="0.35">
      <c r="A39" s="26" t="s">
        <v>104</v>
      </c>
      <c r="B39" s="31">
        <f>IF(B38=0,0,B37/B38)</f>
        <v>24100</v>
      </c>
    </row>
    <row r="40" spans="1:10" x14ac:dyDescent="0.35">
      <c r="A40" s="26" t="s">
        <v>105</v>
      </c>
      <c r="C40" s="31">
        <f>$B$39</f>
        <v>24100</v>
      </c>
      <c r="D40" s="31">
        <f>$B$39</f>
        <v>24100</v>
      </c>
      <c r="E40" s="31">
        <f>$B$39</f>
        <v>24100</v>
      </c>
      <c r="F40" s="31">
        <f>$B$39</f>
        <v>24100</v>
      </c>
      <c r="G40" s="58">
        <f>$B$39</f>
        <v>24100</v>
      </c>
      <c r="H40" s="58">
        <f t="shared" ref="H40:J40" si="12">$B$39</f>
        <v>24100</v>
      </c>
      <c r="I40" s="58">
        <f t="shared" si="12"/>
        <v>24100</v>
      </c>
      <c r="J40" s="58">
        <f t="shared" si="12"/>
        <v>24100</v>
      </c>
    </row>
    <row r="41" spans="1:10" x14ac:dyDescent="0.35">
      <c r="A41" s="56" t="s">
        <v>106</v>
      </c>
      <c r="B41" s="57">
        <f>ROUND(F7-B33,2)</f>
        <v>0</v>
      </c>
    </row>
    <row r="43" spans="1:10" x14ac:dyDescent="0.35">
      <c r="A43" s="28" t="s">
        <v>107</v>
      </c>
      <c r="B43" s="21"/>
      <c r="C43" s="21"/>
      <c r="D43" s="21"/>
      <c r="E43" s="21"/>
      <c r="F43" s="21"/>
      <c r="G43" s="21"/>
      <c r="H43" s="21"/>
      <c r="I43" s="21"/>
      <c r="J43" s="21"/>
    </row>
    <row r="44" spans="1:10" x14ac:dyDescent="0.35">
      <c r="A44" s="29" t="s">
        <v>108</v>
      </c>
      <c r="C44" s="13">
        <f t="shared" ref="C44:J44" si="13">B7</f>
        <v>118000</v>
      </c>
      <c r="D44" s="13">
        <f t="shared" si="13"/>
        <v>121700</v>
      </c>
      <c r="E44" s="13">
        <f t="shared" si="13"/>
        <v>128400</v>
      </c>
      <c r="F44" s="13">
        <f t="shared" si="13"/>
        <v>92000</v>
      </c>
      <c r="G44" s="13">
        <f t="shared" si="13"/>
        <v>61000</v>
      </c>
      <c r="H44" s="51">
        <f t="shared" si="13"/>
        <v>78000</v>
      </c>
      <c r="I44" s="51">
        <f t="shared" si="13"/>
        <v>99365.007657356065</v>
      </c>
      <c r="J44" s="51">
        <f t="shared" si="13"/>
        <v>124742.64564447137</v>
      </c>
    </row>
    <row r="45" spans="1:10" x14ac:dyDescent="0.35">
      <c r="A45" s="29" t="s">
        <v>109</v>
      </c>
      <c r="C45" s="40">
        <f>'Income Statement'!B22</f>
        <v>27800</v>
      </c>
      <c r="D45" s="40">
        <f>'Income Statement'!C22</f>
        <v>30800</v>
      </c>
      <c r="E45" s="40">
        <f>'Income Statement'!D22</f>
        <v>-12300</v>
      </c>
      <c r="F45" s="40">
        <f>'Income Statement'!E22</f>
        <v>-6900</v>
      </c>
      <c r="G45" s="40">
        <f>'Income Statement'!F22</f>
        <v>41100</v>
      </c>
      <c r="H45" s="11">
        <f>'Income Statement'!H19</f>
        <v>45465.007657356065</v>
      </c>
      <c r="I45" s="11">
        <f>'Income Statement'!I19</f>
        <v>49477.637987115304</v>
      </c>
      <c r="J45" s="11">
        <f>'Income Statement'!J19</f>
        <v>53600.834632887912</v>
      </c>
    </row>
    <row r="46" spans="1:10" x14ac:dyDescent="0.35">
      <c r="A46" s="29" t="s">
        <v>110</v>
      </c>
      <c r="C46" s="13">
        <f t="shared" ref="C46:J47" si="14">B8-C8</f>
        <v>0</v>
      </c>
      <c r="D46" s="13">
        <f t="shared" si="14"/>
        <v>0</v>
      </c>
      <c r="E46" s="13">
        <f t="shared" si="14"/>
        <v>0</v>
      </c>
      <c r="F46" s="13">
        <f t="shared" si="14"/>
        <v>0</v>
      </c>
      <c r="G46" s="13">
        <f t="shared" si="14"/>
        <v>0</v>
      </c>
      <c r="H46" s="51">
        <f t="shared" si="14"/>
        <v>0</v>
      </c>
      <c r="I46" s="51">
        <f t="shared" si="14"/>
        <v>0</v>
      </c>
      <c r="J46" s="51">
        <f t="shared" si="14"/>
        <v>0</v>
      </c>
    </row>
    <row r="47" spans="1:10" x14ac:dyDescent="0.35">
      <c r="A47" s="29" t="s">
        <v>111</v>
      </c>
      <c r="C47" s="13">
        <f t="shared" si="14"/>
        <v>0</v>
      </c>
      <c r="D47" s="13">
        <f t="shared" si="14"/>
        <v>0</v>
      </c>
      <c r="E47" s="13">
        <f t="shared" si="14"/>
        <v>0</v>
      </c>
      <c r="F47" s="13">
        <f t="shared" si="14"/>
        <v>0</v>
      </c>
      <c r="G47" s="13">
        <f t="shared" si="14"/>
        <v>0</v>
      </c>
      <c r="H47" s="51">
        <f t="shared" si="14"/>
        <v>0</v>
      </c>
      <c r="I47" s="51">
        <f t="shared" si="14"/>
        <v>0</v>
      </c>
      <c r="J47" s="51">
        <f t="shared" si="14"/>
        <v>0</v>
      </c>
    </row>
    <row r="48" spans="1:10" x14ac:dyDescent="0.35">
      <c r="A48" s="29" t="s">
        <v>112</v>
      </c>
      <c r="C48" s="13">
        <f t="shared" ref="C48:J48" si="15">(B11+B13)-(C11+C13)</f>
        <v>0</v>
      </c>
      <c r="D48" s="13">
        <f t="shared" si="15"/>
        <v>0</v>
      </c>
      <c r="E48" s="13">
        <f t="shared" si="15"/>
        <v>0</v>
      </c>
      <c r="F48" s="13">
        <f t="shared" si="15"/>
        <v>0</v>
      </c>
      <c r="G48" s="13">
        <f t="shared" si="15"/>
        <v>0</v>
      </c>
      <c r="H48" s="51">
        <f t="shared" si="15"/>
        <v>0</v>
      </c>
      <c r="I48" s="51">
        <f t="shared" si="15"/>
        <v>0</v>
      </c>
      <c r="J48" s="51">
        <f t="shared" si="15"/>
        <v>0</v>
      </c>
    </row>
    <row r="49" spans="1:10" x14ac:dyDescent="0.35">
      <c r="A49" s="29" t="s">
        <v>113</v>
      </c>
      <c r="C49" s="13">
        <f t="shared" ref="C49:J51" si="16">C17-B17</f>
        <v>0</v>
      </c>
      <c r="D49" s="13">
        <f t="shared" si="16"/>
        <v>0</v>
      </c>
      <c r="E49" s="13">
        <f t="shared" si="16"/>
        <v>0</v>
      </c>
      <c r="F49" s="13">
        <f t="shared" si="16"/>
        <v>0</v>
      </c>
      <c r="G49" s="13">
        <f t="shared" si="16"/>
        <v>0</v>
      </c>
      <c r="H49" s="51">
        <f t="shared" si="16"/>
        <v>0</v>
      </c>
      <c r="I49" s="51">
        <f t="shared" si="16"/>
        <v>0</v>
      </c>
      <c r="J49" s="51">
        <f t="shared" si="16"/>
        <v>0</v>
      </c>
    </row>
    <row r="50" spans="1:10" x14ac:dyDescent="0.35">
      <c r="A50" s="29" t="s">
        <v>114</v>
      </c>
      <c r="C50" s="13">
        <f t="shared" si="16"/>
        <v>0</v>
      </c>
      <c r="D50" s="13">
        <f t="shared" si="16"/>
        <v>0</v>
      </c>
      <c r="E50" s="13">
        <f t="shared" si="16"/>
        <v>0</v>
      </c>
      <c r="F50" s="13">
        <f t="shared" si="16"/>
        <v>0</v>
      </c>
      <c r="G50" s="13">
        <f t="shared" si="16"/>
        <v>0</v>
      </c>
      <c r="H50" s="51">
        <f t="shared" si="16"/>
        <v>0</v>
      </c>
      <c r="I50" s="51">
        <f t="shared" si="16"/>
        <v>0</v>
      </c>
      <c r="J50" s="51">
        <f t="shared" si="16"/>
        <v>0</v>
      </c>
    </row>
    <row r="51" spans="1:10" x14ac:dyDescent="0.35">
      <c r="A51" s="29" t="s">
        <v>115</v>
      </c>
      <c r="C51" s="13">
        <f t="shared" si="16"/>
        <v>0</v>
      </c>
      <c r="D51" s="13">
        <f t="shared" si="16"/>
        <v>0</v>
      </c>
      <c r="E51" s="13">
        <f t="shared" si="16"/>
        <v>0</v>
      </c>
      <c r="F51" s="13">
        <f t="shared" si="16"/>
        <v>0</v>
      </c>
      <c r="G51" s="13">
        <f t="shared" si="16"/>
        <v>0</v>
      </c>
      <c r="H51" s="51">
        <f t="shared" si="16"/>
        <v>0</v>
      </c>
      <c r="I51" s="51">
        <f t="shared" si="16"/>
        <v>0</v>
      </c>
      <c r="J51" s="51">
        <f t="shared" si="16"/>
        <v>0</v>
      </c>
    </row>
    <row r="52" spans="1:10" x14ac:dyDescent="0.35">
      <c r="A52" s="29" t="s">
        <v>116</v>
      </c>
      <c r="C52" s="13">
        <f t="shared" ref="C52:J52" si="17">C21-B21</f>
        <v>0</v>
      </c>
      <c r="D52" s="13">
        <f t="shared" si="17"/>
        <v>0</v>
      </c>
      <c r="E52" s="13">
        <f t="shared" si="17"/>
        <v>0</v>
      </c>
      <c r="F52" s="13">
        <f t="shared" si="17"/>
        <v>0</v>
      </c>
      <c r="G52" s="13">
        <f t="shared" si="17"/>
        <v>0</v>
      </c>
      <c r="H52" s="51">
        <f t="shared" si="17"/>
        <v>0</v>
      </c>
      <c r="I52" s="51">
        <f t="shared" si="17"/>
        <v>0</v>
      </c>
      <c r="J52" s="51">
        <f t="shared" si="17"/>
        <v>0</v>
      </c>
    </row>
    <row r="53" spans="1:10" x14ac:dyDescent="0.35">
      <c r="A53" s="29" t="s">
        <v>117</v>
      </c>
      <c r="C53" s="13">
        <f t="shared" ref="C53:J53" si="18">C25-B25</f>
        <v>0</v>
      </c>
      <c r="D53" s="13">
        <f t="shared" si="18"/>
        <v>0</v>
      </c>
      <c r="E53" s="13">
        <f t="shared" si="18"/>
        <v>0</v>
      </c>
      <c r="F53" s="13">
        <f t="shared" si="18"/>
        <v>0</v>
      </c>
      <c r="G53" s="13">
        <f t="shared" si="18"/>
        <v>0</v>
      </c>
      <c r="H53" s="51">
        <f t="shared" si="18"/>
        <v>0</v>
      </c>
      <c r="I53" s="51">
        <f t="shared" si="18"/>
        <v>0</v>
      </c>
      <c r="J53" s="51">
        <f t="shared" si="18"/>
        <v>0</v>
      </c>
    </row>
    <row r="54" spans="1:10" x14ac:dyDescent="0.35">
      <c r="A54" s="29" t="s">
        <v>118</v>
      </c>
      <c r="C54" s="13">
        <f t="shared" ref="C54:J54" si="19">-C63</f>
        <v>0</v>
      </c>
      <c r="D54" s="13">
        <f t="shared" si="19"/>
        <v>0</v>
      </c>
      <c r="E54" s="13">
        <f t="shared" si="19"/>
        <v>0</v>
      </c>
      <c r="F54" s="13">
        <f t="shared" si="19"/>
        <v>0</v>
      </c>
      <c r="G54" s="13">
        <f t="shared" si="19"/>
        <v>0</v>
      </c>
      <c r="H54" s="51">
        <f t="shared" si="19"/>
        <v>0</v>
      </c>
      <c r="I54" s="51">
        <f t="shared" si="19"/>
        <v>0</v>
      </c>
      <c r="J54" s="51">
        <f t="shared" si="19"/>
        <v>0</v>
      </c>
    </row>
    <row r="55" spans="1:10" x14ac:dyDescent="0.35">
      <c r="A55" s="29" t="s">
        <v>119</v>
      </c>
      <c r="C55" s="13">
        <f t="shared" ref="C55:J55" si="20">-C40</f>
        <v>-24100</v>
      </c>
      <c r="D55" s="13">
        <f t="shared" si="20"/>
        <v>-24100</v>
      </c>
      <c r="E55" s="13">
        <f t="shared" si="20"/>
        <v>-24100</v>
      </c>
      <c r="F55" s="13">
        <f t="shared" si="20"/>
        <v>-24100</v>
      </c>
      <c r="G55" s="13">
        <f t="shared" si="20"/>
        <v>-24100</v>
      </c>
      <c r="H55" s="51">
        <f t="shared" si="20"/>
        <v>-24100</v>
      </c>
      <c r="I55" s="51">
        <f t="shared" si="20"/>
        <v>-24100</v>
      </c>
      <c r="J55" s="51">
        <f t="shared" si="20"/>
        <v>-24100</v>
      </c>
    </row>
    <row r="56" spans="1:10" x14ac:dyDescent="0.35">
      <c r="A56" s="32" t="s">
        <v>120</v>
      </c>
      <c r="B56" s="59"/>
      <c r="C56" s="33">
        <f t="shared" ref="C56:J56" si="21">SUM(C44:C55)</f>
        <v>121700</v>
      </c>
      <c r="D56" s="33">
        <f t="shared" si="21"/>
        <v>128400</v>
      </c>
      <c r="E56" s="33">
        <f t="shared" si="21"/>
        <v>92000</v>
      </c>
      <c r="F56" s="33">
        <f t="shared" si="21"/>
        <v>61000</v>
      </c>
      <c r="G56" s="33">
        <f t="shared" si="21"/>
        <v>78000</v>
      </c>
      <c r="H56" s="16">
        <f t="shared" si="21"/>
        <v>99365.007657356065</v>
      </c>
      <c r="I56" s="16">
        <f t="shared" si="21"/>
        <v>124742.64564447137</v>
      </c>
      <c r="J56" s="16">
        <f t="shared" si="21"/>
        <v>154243.48027735928</v>
      </c>
    </row>
    <row r="57" spans="1:10" x14ac:dyDescent="0.35">
      <c r="A57" s="29" t="s">
        <v>121</v>
      </c>
      <c r="C57" s="30"/>
      <c r="D57" s="30"/>
      <c r="E57" s="30"/>
      <c r="F57" s="13">
        <f>B33</f>
        <v>61000</v>
      </c>
      <c r="G57" s="30"/>
    </row>
    <row r="58" spans="1:10" x14ac:dyDescent="0.35">
      <c r="A58" s="56" t="s">
        <v>122</v>
      </c>
      <c r="C58" s="57" t="str">
        <f>IF(ISBLANK(C57),"",ROUND(C56-C57,2))</f>
        <v/>
      </c>
      <c r="D58" s="57" t="str">
        <f>IF(ISBLANK(D57),"",ROUND(D56-D57,2))</f>
        <v/>
      </c>
      <c r="E58" s="57" t="str">
        <f>IF(ISBLANK(E57),"",ROUND(E56-E57,2))</f>
        <v/>
      </c>
      <c r="F58" s="57">
        <f>IF(ISBLANK(F57),"",ROUND(F56-F57,2))</f>
        <v>0</v>
      </c>
      <c r="G58" s="57" t="str">
        <f>IF(ISBLANK(G57),"",ROUND(G56-G57,2))</f>
        <v/>
      </c>
    </row>
    <row r="60" spans="1:10" x14ac:dyDescent="0.35">
      <c r="A60" s="28" t="s">
        <v>123</v>
      </c>
      <c r="B60" s="21"/>
      <c r="C60" s="21"/>
      <c r="D60" s="21"/>
      <c r="E60" s="21"/>
      <c r="F60" s="21"/>
      <c r="G60" s="21"/>
      <c r="H60" s="21"/>
      <c r="I60" s="21"/>
      <c r="J60" s="21"/>
    </row>
    <row r="61" spans="1:10" x14ac:dyDescent="0.35">
      <c r="A61" s="29" t="s">
        <v>124</v>
      </c>
      <c r="C61" s="13">
        <f t="shared" ref="C61:J61" si="22">B26</f>
        <v>118000</v>
      </c>
      <c r="D61" s="13">
        <f t="shared" si="22"/>
        <v>145800</v>
      </c>
      <c r="E61" s="13">
        <f t="shared" si="22"/>
        <v>176600</v>
      </c>
      <c r="F61" s="13">
        <f t="shared" si="22"/>
        <v>164300</v>
      </c>
      <c r="G61" s="13">
        <f t="shared" si="22"/>
        <v>157400</v>
      </c>
      <c r="H61" s="51">
        <f t="shared" si="22"/>
        <v>198500</v>
      </c>
      <c r="I61" s="51">
        <f t="shared" si="22"/>
        <v>243965.00765735607</v>
      </c>
      <c r="J61" s="51">
        <f t="shared" si="22"/>
        <v>293442.6456444714</v>
      </c>
    </row>
    <row r="62" spans="1:10" x14ac:dyDescent="0.35">
      <c r="A62" s="29" t="s">
        <v>109</v>
      </c>
      <c r="C62" s="40">
        <f>'Income Statement'!B22</f>
        <v>27800</v>
      </c>
      <c r="D62" s="40">
        <f>'Income Statement'!C22</f>
        <v>30800</v>
      </c>
      <c r="E62" s="40">
        <f>'Income Statement'!D22</f>
        <v>-12300</v>
      </c>
      <c r="F62" s="40">
        <f>'Income Statement'!E22</f>
        <v>-6900</v>
      </c>
      <c r="G62" s="40">
        <f>'Income Statement'!F22</f>
        <v>41100</v>
      </c>
      <c r="H62" s="11">
        <f>'Income Statement'!H19</f>
        <v>45465.007657356065</v>
      </c>
      <c r="I62" s="11">
        <f>'Income Statement'!I19</f>
        <v>49477.637987115304</v>
      </c>
      <c r="J62" s="11">
        <f>'Income Statement'!J19</f>
        <v>53600.834632887912</v>
      </c>
    </row>
    <row r="63" spans="1:10" x14ac:dyDescent="0.35">
      <c r="A63" s="29" t="s">
        <v>118</v>
      </c>
      <c r="C63" s="30"/>
      <c r="D63" s="30"/>
      <c r="E63" s="30"/>
      <c r="F63" s="30"/>
      <c r="G63" s="30"/>
      <c r="H63" s="60">
        <v>0</v>
      </c>
      <c r="I63" s="60">
        <v>0</v>
      </c>
      <c r="J63" s="60">
        <v>0</v>
      </c>
    </row>
    <row r="64" spans="1:10" x14ac:dyDescent="0.35">
      <c r="A64" s="32" t="s">
        <v>125</v>
      </c>
      <c r="B64" s="59"/>
      <c r="C64" s="33">
        <f t="shared" ref="C64:J64" si="23">C61+C62-C63</f>
        <v>145800</v>
      </c>
      <c r="D64" s="33">
        <f t="shared" si="23"/>
        <v>176600</v>
      </c>
      <c r="E64" s="33">
        <f t="shared" si="23"/>
        <v>164300</v>
      </c>
      <c r="F64" s="33">
        <f t="shared" si="23"/>
        <v>157400</v>
      </c>
      <c r="G64" s="33">
        <f t="shared" si="23"/>
        <v>198500</v>
      </c>
      <c r="H64" s="16">
        <f t="shared" si="23"/>
        <v>243965.00765735607</v>
      </c>
      <c r="I64" s="16">
        <f t="shared" si="23"/>
        <v>293442.6456444714</v>
      </c>
      <c r="J64" s="16">
        <f t="shared" si="23"/>
        <v>347043.48027735931</v>
      </c>
    </row>
    <row r="66" spans="1:10" x14ac:dyDescent="0.35">
      <c r="A66" s="28" t="s">
        <v>126</v>
      </c>
      <c r="B66" s="21"/>
      <c r="C66" s="21"/>
      <c r="D66" s="21"/>
      <c r="E66" s="21"/>
      <c r="F66" s="21"/>
      <c r="G66" s="21"/>
      <c r="H66" s="21"/>
      <c r="I66" s="21"/>
      <c r="J66" s="21"/>
    </row>
    <row r="67" spans="1:10" x14ac:dyDescent="0.35">
      <c r="A67" s="29" t="s">
        <v>127</v>
      </c>
      <c r="C67" s="61">
        <f>IF('Income Statement'!B5=0,0,C8/'Income Statement'!B5*30)</f>
        <v>0</v>
      </c>
      <c r="D67" s="61">
        <f>IF('Income Statement'!C5=0,0,D8/'Income Statement'!C5*30)</f>
        <v>0</v>
      </c>
      <c r="E67" s="61">
        <f>IF('Income Statement'!D5=0,0,E8/'Income Statement'!D5*30)</f>
        <v>0</v>
      </c>
      <c r="F67" s="61">
        <f>IF('Income Statement'!E5=0,0,F8/'Income Statement'!E5*30)</f>
        <v>0</v>
      </c>
      <c r="G67" s="61">
        <f>IF('Income Statement'!F5=0,0,G8/'Income Statement'!F5*30)</f>
        <v>0</v>
      </c>
      <c r="H67" s="62">
        <f>IF('Income Statement'!H5=0,0,H8/'Income Statement'!H5*30)</f>
        <v>0</v>
      </c>
      <c r="I67" s="62">
        <f>IF('Income Statement'!I5=0,0,I8/'Income Statement'!I5*30)</f>
        <v>0</v>
      </c>
      <c r="J67" s="62">
        <f>IF('Income Statement'!J5=0,0,J8/'Income Statement'!J5*30)</f>
        <v>0</v>
      </c>
    </row>
    <row r="68" spans="1:10" x14ac:dyDescent="0.35">
      <c r="A68" s="29" t="s">
        <v>128</v>
      </c>
      <c r="C68" s="61">
        <f>IF('Income Statement'!B6=0,0,C17/'Income Statement'!B6*30)</f>
        <v>0</v>
      </c>
      <c r="D68" s="61">
        <f>IF('Income Statement'!C6=0,0,D17/'Income Statement'!C6*30)</f>
        <v>0</v>
      </c>
      <c r="E68" s="61">
        <f>IF('Income Statement'!D6=0,0,E17/'Income Statement'!D6*30)</f>
        <v>0</v>
      </c>
      <c r="F68" s="61">
        <f>IF('Income Statement'!E6=0,0,F17/'Income Statement'!E6*30)</f>
        <v>0</v>
      </c>
      <c r="G68" s="61">
        <f>IF('Income Statement'!F6=0,0,G17/'Income Statement'!F6*30)</f>
        <v>0</v>
      </c>
      <c r="H68" s="62">
        <f>IF('Income Statement'!H6=0,0,H17/'Income Statement'!H6*30)</f>
        <v>0</v>
      </c>
      <c r="I68" s="62">
        <f>IF('Income Statement'!I6=0,0,I17/'Income Statement'!I6*30)</f>
        <v>0</v>
      </c>
      <c r="J68" s="62">
        <f>IF('Income Statement'!J6=0,0,J17/'Income Statement'!J6*30)</f>
        <v>0</v>
      </c>
    </row>
    <row r="69" spans="1:10" x14ac:dyDescent="0.35">
      <c r="A69" s="29" t="s">
        <v>129</v>
      </c>
      <c r="C69" s="63">
        <f>IF('Income Statement'!B11=0,0,C18/'Income Statement'!B11)</f>
        <v>0</v>
      </c>
      <c r="D69" s="63">
        <f>IF('Income Statement'!C11=0,0,D18/'Income Statement'!C11)</f>
        <v>0</v>
      </c>
      <c r="E69" s="63">
        <f>IF('Income Statement'!D11=0,0,E18/'Income Statement'!D11)</f>
        <v>0</v>
      </c>
      <c r="F69" s="63">
        <f>IF('Income Statement'!E11=0,0,F18/'Income Statement'!E11)</f>
        <v>0</v>
      </c>
      <c r="G69" s="63">
        <f>IF('Income Statement'!F11=0,0,G18/'Income Statement'!F11)</f>
        <v>0</v>
      </c>
      <c r="H69" s="19">
        <f>IF('Income Statement'!H11=0,0,H18/'Income Statement'!H11)</f>
        <v>0</v>
      </c>
      <c r="I69" s="19">
        <f>IF('Income Statement'!I11=0,0,I18/'Income Statement'!I11)</f>
        <v>0</v>
      </c>
      <c r="J69" s="19">
        <f>IF('Income Statement'!J11=0,0,J18/'Income Statement'!J11)</f>
        <v>0</v>
      </c>
    </row>
    <row r="70" spans="1:10" x14ac:dyDescent="0.35">
      <c r="A70" s="29" t="s">
        <v>130</v>
      </c>
      <c r="C70" s="63">
        <f>IF(('Income Statement'!B12+'Income Statement'!B13)=0,0,C19/('Income Statement'!B12+'Income Statement'!B13))</f>
        <v>0</v>
      </c>
      <c r="D70" s="63">
        <f>IF(('Income Statement'!C12+'Income Statement'!C13)=0,0,D19/('Income Statement'!C12+'Income Statement'!C13))</f>
        <v>0</v>
      </c>
      <c r="E70" s="63">
        <f>IF(('Income Statement'!D12+'Income Statement'!D13)=0,0,E19/('Income Statement'!D12+'Income Statement'!D13))</f>
        <v>0</v>
      </c>
      <c r="F70" s="63">
        <f>IF(('Income Statement'!E12+'Income Statement'!E13)=0,0,F19/('Income Statement'!E12+'Income Statement'!E13))</f>
        <v>0</v>
      </c>
      <c r="G70" s="63">
        <f>IF(('Income Statement'!F12+'Income Statement'!F13)=0,0,G19/('Income Statement'!F12+'Income Statement'!F13))</f>
        <v>0</v>
      </c>
      <c r="H70" s="19">
        <f>IF(('Income Statement'!H12+'Income Statement'!H13)=0,0,H19/('Income Statement'!H12+'Income Statement'!H13))</f>
        <v>0</v>
      </c>
      <c r="I70" s="19">
        <f>IF(('Income Statement'!I12+'Income Statement'!I13)=0,0,I19/('Income Statement'!I12+'Income Statement'!I13))</f>
        <v>0</v>
      </c>
      <c r="J70" s="19">
        <f>IF(('Income Statement'!J12+'Income Statement'!J13)=0,0,J19/('Income Statement'!J12+'Income Statement'!J13))</f>
        <v>0</v>
      </c>
    </row>
    <row r="71" spans="1:10" x14ac:dyDescent="0.35">
      <c r="A71" s="29" t="s">
        <v>131</v>
      </c>
      <c r="C71" s="63">
        <f>IF('Income Statement'!B5=0,0,C40/'Income Statement'!B5)</f>
        <v>0.12860192102454643</v>
      </c>
      <c r="D71" s="63">
        <f>IF('Income Statement'!C5=0,0,D40/'Income Statement'!C5)</f>
        <v>0.12409886714727085</v>
      </c>
      <c r="E71" s="63">
        <f>IF('Income Statement'!D5=0,0,E40/'Income Statement'!D5)</f>
        <v>0.11936602278355622</v>
      </c>
      <c r="F71" s="63">
        <f>IF('Income Statement'!E5=0,0,F40/'Income Statement'!E5)</f>
        <v>0.12153303076147251</v>
      </c>
      <c r="G71" s="63">
        <f>IF('Income Statement'!F5=0,0,G40/'Income Statement'!F5)</f>
        <v>0.11470728224654926</v>
      </c>
      <c r="H71" s="19">
        <f>IF('Income Statement'!H5=0,0,H40/'Income Statement'!H5)</f>
        <v>0.11147484411375805</v>
      </c>
      <c r="I71" s="19">
        <f>IF('Income Statement'!I5=0,0,I40/'Income Statement'!I5)</f>
        <v>0.10833349571893015</v>
      </c>
      <c r="J71" s="19">
        <f>IF('Income Statement'!J5=0,0,J40/'Income Statement'!J5)</f>
        <v>0.1052806701636374</v>
      </c>
    </row>
    <row r="73" spans="1:10" x14ac:dyDescent="0.35">
      <c r="A73" s="26" t="s">
        <v>28</v>
      </c>
    </row>
    <row r="74" spans="1:10" x14ac:dyDescent="0.35">
      <c r="A74" s="27" t="s">
        <v>132</v>
      </c>
    </row>
    <row r="75" spans="1:10" x14ac:dyDescent="0.35">
      <c r="A75" s="27" t="s">
        <v>133</v>
      </c>
    </row>
    <row r="76" spans="1:10" x14ac:dyDescent="0.35">
      <c r="A76" s="27" t="s">
        <v>134</v>
      </c>
    </row>
    <row r="77" spans="1:10" x14ac:dyDescent="0.35">
      <c r="A77" s="27" t="s">
        <v>135</v>
      </c>
    </row>
    <row r="78" spans="1:10" x14ac:dyDescent="0.35">
      <c r="A78" s="27" t="s">
        <v>136</v>
      </c>
    </row>
    <row r="79" spans="1:10" x14ac:dyDescent="0.35">
      <c r="A79" s="27" t="s">
        <v>137</v>
      </c>
    </row>
    <row r="80" spans="1:10" x14ac:dyDescent="0.35">
      <c r="A80" s="27" t="s">
        <v>138</v>
      </c>
    </row>
  </sheetData>
  <conditionalFormatting sqref="B41">
    <cfRule type="expression" dxfId="2" priority="3">
      <formula>B41&lt;&gt;0</formula>
    </cfRule>
  </conditionalFormatting>
  <conditionalFormatting sqref="B29:J29">
    <cfRule type="expression" dxfId="1" priority="2">
      <formula>B29&lt;&gt;0</formula>
    </cfRule>
  </conditionalFormatting>
  <conditionalFormatting sqref="C58:G58">
    <cfRule type="expression" dxfId="0" priority="4">
      <formula>AND(C58&lt;&gt;"",C58&lt;&gt;0)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Analysis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Jimmy Goranov</cp:lastModifiedBy>
  <cp:revision>0</cp:revision>
  <dcterms:created xsi:type="dcterms:W3CDTF">2026-09-15T16:24:02Z</dcterms:created>
  <dcterms:modified xsi:type="dcterms:W3CDTF">2026-09-15T20:38:03Z</dcterms:modified>
  <dc:language>en-US</dc:language>
</cp:coreProperties>
</file>